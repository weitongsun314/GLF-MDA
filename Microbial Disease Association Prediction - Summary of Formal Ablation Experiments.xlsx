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520"/>
  </bookViews>
  <sheets>
    <sheet name="Ablation Summary" sheetId="1" r:id="rId1"/>
    <sheet name="Module Effects" sheetId="2" r:id="rId2"/>
    <sheet name="Parameters" sheetId="3" r:id="rId3"/>
    <sheet name="Source Fi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<sst xmlns="http://schemas.openxmlformats.org/spreadsheetml/2006/main" count="135" uniqueCount="85">
  <si>
    <t>微生物疾病关联预测：正式消融实验汇总</t>
  </si>
  <si>
    <t>关键结果</t>
  </si>
  <si>
    <t>CVS1 · 5-fold × 10 repeats · seed=2025 · 两个数据集使用各自最终参数</t>
  </si>
  <si>
    <t>指标</t>
  </si>
  <si>
    <t>HMDAD</t>
  </si>
  <si>
    <t>Disbiome</t>
  </si>
  <si>
    <t>说明</t>
  </si>
  <si>
    <t>Dataset</t>
  </si>
  <si>
    <t>Model</t>
  </si>
  <si>
    <t>AUC</t>
  </si>
  <si>
    <t>AUPR</t>
  </si>
  <si>
    <t>Accuracy</t>
  </si>
  <si>
    <t>Recall</t>
  </si>
  <si>
    <t>Precision</t>
  </si>
  <si>
    <t>F1</t>
  </si>
  <si>
    <t>ΔAUC vs Full</t>
  </si>
  <si>
    <t>ΔAUPR vs Full</t>
  </si>
  <si>
    <t>Full AUC</t>
  </si>
  <si>
    <t>Full 为两个数据集最高 AUC</t>
  </si>
  <si>
    <t>Full</t>
  </si>
  <si>
    <t>MDMF ΔAUC</t>
  </si>
  <si>
    <t>Full − w/o MDMF</t>
  </si>
  <si>
    <t>w/o MDMF</t>
  </si>
  <si>
    <t>CNN ΔAUC</t>
  </si>
  <si>
    <t>Full − w/o CNN</t>
  </si>
  <si>
    <t>w/o CNN</t>
  </si>
  <si>
    <t>BiScaleGCN ΔAUC</t>
  </si>
  <si>
    <t>Full − GCN</t>
  </si>
  <si>
    <t>GCN</t>
  </si>
  <si>
    <t>结论</t>
  </si>
  <si>
    <t>MDMF / BiScaleGCN贡献强；CNN贡献较小</t>
  </si>
  <si>
    <t>Full在AUC/AUPR上均高于三个消融版本</t>
  </si>
  <si>
    <t>用于论文消融分析</t>
  </si>
  <si>
    <t>模块贡献汇总（正值表示 Full 优于对应消融模型）</t>
  </si>
  <si>
    <t>Module</t>
  </si>
  <si>
    <t>Ablated Variant</t>
  </si>
  <si>
    <t>HMDAD ΔAUC</t>
  </si>
  <si>
    <t>HMDAD ΔAUPR</t>
  </si>
  <si>
    <t>Disbiome ΔAUC</t>
  </si>
  <si>
    <t>Disbiome ΔAUPR</t>
  </si>
  <si>
    <t>Interpretation</t>
  </si>
  <si>
    <t>MDMF</t>
  </si>
  <si>
    <t>Strong positive contribution on both datasets</t>
  </si>
  <si>
    <t>Feature Convolution (CNN)</t>
  </si>
  <si>
    <t>Modest contribution; HMDAD AUPR is slightly higher without CNN</t>
  </si>
  <si>
    <t>BiScaleGCN</t>
  </si>
  <si>
    <t>GCN (vanilla replacement)</t>
  </si>
  <si>
    <t>Strong positive contribution, especially on HMDAD</t>
  </si>
  <si>
    <t>最终实验参数（数据集专属）</t>
  </si>
  <si>
    <t>Parameter</t>
  </si>
  <si>
    <t>Notes</t>
  </si>
  <si>
    <t>CVS</t>
  </si>
  <si>
    <t>CVS1</t>
  </si>
  <si>
    <t>正式消融协议</t>
  </si>
  <si>
    <t>folds</t>
  </si>
  <si>
    <t>统一</t>
  </si>
  <si>
    <t>repeats</t>
  </si>
  <si>
    <t>seed</t>
  </si>
  <si>
    <t>epochs</t>
  </si>
  <si>
    <t>数据集专属</t>
  </si>
  <si>
    <t>lr</t>
  </si>
  <si>
    <t/>
  </si>
  <si>
    <t>weight_decay</t>
  </si>
  <si>
    <t>feature_out</t>
  </si>
  <si>
    <t>hidden_size</t>
  </si>
  <si>
    <t>num_layers</t>
  </si>
  <si>
    <t>dropout</t>
  </si>
  <si>
    <t>drop_rate</t>
  </si>
  <si>
    <t>sim_threshold</t>
  </si>
  <si>
    <t>negative_multiplier</t>
  </si>
  <si>
    <t>alpha</t>
  </si>
  <si>
    <t>beta</t>
  </si>
  <si>
    <t>mdmf_dim</t>
  </si>
  <si>
    <t>mdmf_loss_weight</t>
  </si>
  <si>
    <t>mdmf_gate_init</t>
  </si>
  <si>
    <t>正式消融结果来源文件</t>
  </si>
  <si>
    <t>Source file</t>
  </si>
  <si>
    <t>HMDAD_CVS1_full_hs128_do0.5_dr0.1_st0.2_results.xlsx</t>
  </si>
  <si>
    <t>HMDAD_CVS1_no_mdmf_hs128_do0.5_dr0.1_st0.2_results.xlsx</t>
  </si>
  <si>
    <t>HMDAD_CVS1_no_cnn_hs128_do0.5_dr0.1_st0.2_results.xlsx</t>
  </si>
  <si>
    <t>HMDAD_CVS1_gcn_hs128_do0.5_dr0.1_st0.2_results.xlsx</t>
  </si>
  <si>
    <t>Disbiome_CVS1_full_hs256_do0.1_dr0.3_st0.1_results.xlsx</t>
  </si>
  <si>
    <t>Disbiome_CVS1_no_mdmf_hs256_do0.1_dr0.3_st0.1_results.xlsx</t>
  </si>
  <si>
    <t>Disbiome_CVS1_no_cnn_hs256_do0.1_dr0.3_st0.1_results.xlsx</t>
  </si>
  <si>
    <t>Disbiome_CVS1_gcn_hs256_do0.1_dr0.3_st0.1_results.xlsx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</si>
</sst>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i/>
      <sz val="10"/>
      <color rgb="FF24406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4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/>
    <xf numFmtId="0" fontId="0" fillId="0" borderId="2" xfId="49" applyNumberFormat="1" applyFont="1" applyFill="1" applyBorder="1"/>
    <xf numFmtId="0" fontId="0" fillId="0" borderId="3" xfId="49" applyNumberFormat="1" applyFont="1" applyFill="1" applyBorder="1"/>
    <xf numFmtId="0" fontId="0" fillId="0" borderId="4" xfId="49" applyNumberFormat="1" applyFont="1" applyFill="1" applyBorder="1"/>
    <xf numFmtId="0" fontId="0" fillId="0" borderId="0" xfId="49" applyNumberFormat="1" applyFont="1" applyFill="1" applyBorder="1"/>
    <xf numFmtId="0" fontId="0" fillId="0" borderId="5" xfId="49" applyNumberFormat="1" applyFont="1" applyFill="1" applyBorder="1"/>
    <xf numFmtId="0" fontId="0" fillId="0" borderId="6" xfId="49" applyNumberFormat="1" applyFont="1" applyFill="1" applyBorder="1"/>
    <xf numFmtId="0" fontId="0" fillId="0" borderId="7" xfId="49" applyNumberFormat="1" applyFont="1" applyFill="1" applyBorder="1"/>
    <xf numFmtId="0" fontId="0" fillId="0" borderId="8" xfId="49" applyNumberFormat="1" applyFont="1" applyFill="1" applyBorder="1"/>
    <xf numFmtId="0" fontId="3" fillId="0" borderId="1" xfId="49" applyNumberFormat="1" applyFont="1" applyFill="1" applyBorder="1"/>
    <xf numFmtId="0" fontId="3" fillId="0" borderId="4" xfId="49" applyNumberFormat="1" applyFont="1" applyFill="1" applyBorder="1"/>
    <xf numFmtId="0" fontId="3" fillId="0" borderId="6" xfId="49" applyNumberFormat="1" applyFont="1" applyFill="1" applyBorder="1"/>
    <xf numFmtId="176" fontId="0" fillId="0" borderId="2" xfId="49" applyNumberFormat="1" applyFont="1" applyFill="1" applyBorder="1"/>
    <xf numFmtId="0" fontId="0" fillId="0" borderId="3" xfId="49" applyNumberFormat="1" applyFont="1" applyFill="1" applyBorder="1" applyAlignment="1">
      <alignment wrapText="1"/>
    </xf>
    <xf numFmtId="176" fontId="0" fillId="0" borderId="0" xfId="49" applyNumberFormat="1" applyFont="1" applyFill="1" applyBorder="1"/>
    <xf numFmtId="0" fontId="0" fillId="0" borderId="5" xfId="49" applyNumberFormat="1" applyFont="1" applyFill="1" applyBorder="1" applyAlignment="1">
      <alignment wrapText="1"/>
    </xf>
    <xf numFmtId="176" fontId="0" fillId="0" borderId="7" xfId="49" applyNumberFormat="1" applyFont="1" applyFill="1" applyBorder="1"/>
    <xf numFmtId="0" fontId="0" fillId="0" borderId="8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vertical="center"/>
    </xf>
    <xf numFmtId="0" fontId="4" fillId="4" borderId="0" xfId="49" applyNumberFormat="1" applyFont="1" applyFill="1" applyBorder="1" applyAlignment="1">
      <alignment horizontal="center" vertical="center"/>
    </xf>
    <xf numFmtId="0" fontId="2" fillId="5" borderId="0" xfId="49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vertical="center"/>
    </xf>
    <xf numFmtId="176" fontId="0" fillId="0" borderId="2" xfId="49" applyNumberFormat="1" applyFont="1" applyFill="1" applyBorder="1" applyAlignment="1">
      <alignment vertical="center"/>
    </xf>
    <xf numFmtId="0" fontId="0" fillId="0" borderId="3" xfId="49" applyNumberFormat="1" applyFont="1" applyFill="1" applyBorder="1" applyAlignment="1">
      <alignment vertical="center" wrapText="1"/>
    </xf>
    <xf numFmtId="0" fontId="3" fillId="6" borderId="1" xfId="49" applyNumberFormat="1" applyFont="1" applyFill="1" applyBorder="1" applyAlignment="1">
      <alignment vertical="center"/>
    </xf>
    <xf numFmtId="0" fontId="3" fillId="6" borderId="2" xfId="49" applyNumberFormat="1" applyFont="1" applyFill="1" applyBorder="1" applyAlignment="1">
      <alignment vertical="center"/>
    </xf>
    <xf numFmtId="176" fontId="3" fillId="6" borderId="2" xfId="49" applyNumberFormat="1" applyFont="1" applyFill="1" applyBorder="1" applyAlignment="1">
      <alignment vertical="center"/>
    </xf>
    <xf numFmtId="176" fontId="3" fillId="6" borderId="3" xfId="49" applyNumberFormat="1" applyFont="1" applyFill="1" applyBorder="1" applyAlignment="1">
      <alignment vertical="center"/>
    </xf>
    <xf numFmtId="0" fontId="3" fillId="0" borderId="4" xfId="49" applyNumberFormat="1" applyFont="1" applyFill="1" applyBorder="1" applyAlignment="1">
      <alignment vertical="center"/>
    </xf>
    <xf numFmtId="176" fontId="0" fillId="0" borderId="0" xfId="49" applyNumberFormat="1" applyFont="1" applyFill="1" applyBorder="1" applyAlignment="1">
      <alignment vertical="center"/>
    </xf>
    <xf numFmtId="0" fontId="0" fillId="0" borderId="5" xfId="49" applyNumberFormat="1" applyFont="1" applyFill="1" applyBorder="1" applyAlignment="1">
      <alignment vertical="center" wrapText="1"/>
    </xf>
    <xf numFmtId="0" fontId="0" fillId="0" borderId="4" xfId="49" applyNumberFormat="1" applyFont="1" applyFill="1" applyBorder="1" applyAlignment="1">
      <alignment vertical="center"/>
    </xf>
    <xf numFmtId="176" fontId="0" fillId="0" borderId="5" xfId="49" applyNumberFormat="1" applyFont="1" applyFill="1" applyBorder="1" applyAlignment="1">
      <alignment vertical="center"/>
    </xf>
    <xf numFmtId="0" fontId="3" fillId="0" borderId="6" xfId="49" applyNumberFormat="1" applyFont="1" applyFill="1" applyBorder="1" applyAlignment="1">
      <alignment vertical="center"/>
    </xf>
    <xf numFmtId="0" fontId="0" fillId="0" borderId="7" xfId="49" applyNumberFormat="1" applyFont="1" applyFill="1" applyBorder="1" applyAlignment="1">
      <alignment vertical="center" wrapText="1"/>
    </xf>
    <xf numFmtId="0" fontId="0" fillId="0" borderId="8" xfId="49" applyNumberFormat="1" applyFont="1" applyFill="1" applyBorder="1" applyAlignment="1">
      <alignment vertical="center" wrapText="1"/>
    </xf>
    <xf numFmtId="0" fontId="3" fillId="6" borderId="4" xfId="49" applyNumberFormat="1" applyFont="1" applyFill="1" applyBorder="1" applyAlignment="1">
      <alignment vertical="center"/>
    </xf>
    <xf numFmtId="0" fontId="3" fillId="6" borderId="0" xfId="49" applyNumberFormat="1" applyFont="1" applyFill="1" applyBorder="1" applyAlignment="1">
      <alignment vertical="center"/>
    </xf>
    <xf numFmtId="176" fontId="3" fillId="6" borderId="0" xfId="49" applyNumberFormat="1" applyFont="1" applyFill="1" applyBorder="1" applyAlignment="1">
      <alignment vertical="center"/>
    </xf>
    <xf numFmtId="176" fontId="3" fillId="6" borderId="5" xfId="49" applyNumberFormat="1" applyFont="1" applyFill="1" applyBorder="1" applyAlignment="1">
      <alignment vertical="center"/>
    </xf>
    <xf numFmtId="0" fontId="0" fillId="0" borderId="6" xfId="49" applyNumberFormat="1" applyFont="1" applyFill="1" applyBorder="1" applyAlignment="1">
      <alignment vertical="center"/>
    </xf>
    <xf numFmtId="0" fontId="0" fillId="0" borderId="7" xfId="49" applyNumberFormat="1" applyFont="1" applyFill="1" applyBorder="1" applyAlignment="1">
      <alignment vertical="center"/>
    </xf>
    <xf numFmtId="176" fontId="0" fillId="0" borderId="7" xfId="49" applyNumberFormat="1" applyFont="1" applyFill="1" applyBorder="1" applyAlignment="1">
      <alignment vertical="center"/>
    </xf>
    <xf numFmtId="176" fontId="0" fillId="0" borderId="8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A1" sqref="A1:J1"/>
    </sheetView>
  </sheetViews>
  <sheetFormatPr defaultColWidth="9" defaultRowHeight="16.8"/>
  <cols>
    <col min="1" max="1" width="13" customWidth="1"/>
    <col min="2" max="2" width="15" customWidth="1"/>
    <col min="3" max="8" width="12" customWidth="1"/>
    <col min="9" max="10" width="15" customWidth="1"/>
    <col min="12" max="12" width="18" customWidth="1"/>
    <col min="13" max="14" width="16" customWidth="1"/>
    <col min="15" max="15" width="34" customWidth="1"/>
  </cols>
  <sheetData>
    <row r="1" ht="26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1"/>
      <c r="L1" s="1" t="s">
        <v>1</v>
      </c>
      <c r="M1" s="1"/>
      <c r="N1" s="1"/>
      <c r="O1" s="1"/>
    </row>
    <row r="2" ht="20" customHeight="1" spans="1:15">
      <c r="A2" s="22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1"/>
      <c r="L2" s="21"/>
      <c r="M2" s="21"/>
      <c r="N2" s="21"/>
      <c r="O2" s="21"/>
    </row>
    <row r="3" spans="1:1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3" t="s">
        <v>3</v>
      </c>
      <c r="M3" s="23" t="s">
        <v>4</v>
      </c>
      <c r="N3" s="23" t="s">
        <v>5</v>
      </c>
      <c r="O3" s="23" t="s">
        <v>6</v>
      </c>
    </row>
    <row r="4" ht="17" spans="1:1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1"/>
      <c r="L4" s="24" t="s">
        <v>17</v>
      </c>
      <c r="M4" s="25">
        <v>0.902758024691358</v>
      </c>
      <c r="N4" s="25">
        <v>0.869760189840156</v>
      </c>
      <c r="O4" s="26" t="s">
        <v>18</v>
      </c>
    </row>
    <row r="5" ht="17" spans="1:15">
      <c r="A5" s="27" t="s">
        <v>4</v>
      </c>
      <c r="B5" s="28" t="s">
        <v>19</v>
      </c>
      <c r="C5" s="29">
        <v>0.902758024691358</v>
      </c>
      <c r="D5" s="29">
        <v>0.906770195424861</v>
      </c>
      <c r="E5" s="29">
        <v>0.822444444444444</v>
      </c>
      <c r="F5" s="29">
        <v>0.810222222222222</v>
      </c>
      <c r="G5" s="29">
        <v>0.832329217691501</v>
      </c>
      <c r="H5" s="29">
        <v>0.820223194989944</v>
      </c>
      <c r="I5" s="29">
        <v>0</v>
      </c>
      <c r="J5" s="30">
        <v>0</v>
      </c>
      <c r="K5" s="21"/>
      <c r="L5" s="31" t="s">
        <v>20</v>
      </c>
      <c r="M5" s="32">
        <f>$C$5-$C$6</f>
        <v>0.01981975308642</v>
      </c>
      <c r="N5" s="32">
        <f>$C$9-$C$10</f>
        <v>0.00472220054410166</v>
      </c>
      <c r="O5" s="33" t="s">
        <v>21</v>
      </c>
    </row>
    <row r="6" ht="17" spans="1:15">
      <c r="A6" s="34" t="s">
        <v>4</v>
      </c>
      <c r="B6" s="21" t="s">
        <v>22</v>
      </c>
      <c r="C6" s="32">
        <v>0.882938271604938</v>
      </c>
      <c r="D6" s="32">
        <v>0.887744262694586</v>
      </c>
      <c r="E6" s="32">
        <v>0.825111111111111</v>
      </c>
      <c r="F6" s="32">
        <v>0.797777777777778</v>
      </c>
      <c r="G6" s="32">
        <v>0.846585722762066</v>
      </c>
      <c r="H6" s="32">
        <v>0.820125848174885</v>
      </c>
      <c r="I6" s="32">
        <f>$C$5-C6</f>
        <v>0.01981975308642</v>
      </c>
      <c r="J6" s="35">
        <f>$D$5-D6</f>
        <v>0.0190259327302753</v>
      </c>
      <c r="K6" s="21"/>
      <c r="L6" s="31" t="s">
        <v>23</v>
      </c>
      <c r="M6" s="32">
        <f>$C$5-$C$7</f>
        <v>0.00105432098765457</v>
      </c>
      <c r="N6" s="32">
        <f>$C$9-$C$11</f>
        <v>0.000661308746006117</v>
      </c>
      <c r="O6" s="33" t="s">
        <v>24</v>
      </c>
    </row>
    <row r="7" ht="17" spans="1:15">
      <c r="A7" s="34" t="s">
        <v>4</v>
      </c>
      <c r="B7" s="21" t="s">
        <v>25</v>
      </c>
      <c r="C7" s="32">
        <v>0.901703703703704</v>
      </c>
      <c r="D7" s="32">
        <v>0.907457078372246</v>
      </c>
      <c r="E7" s="32">
        <v>0.824111111111111</v>
      </c>
      <c r="F7" s="32">
        <v>0.808666666666667</v>
      </c>
      <c r="G7" s="32">
        <v>0.836270507739046</v>
      </c>
      <c r="H7" s="32">
        <v>0.821349589485864</v>
      </c>
      <c r="I7" s="32">
        <f>$C$5-C7</f>
        <v>0.00105432098765457</v>
      </c>
      <c r="J7" s="35">
        <f>$D$5-D7</f>
        <v>-0.000686882947384171</v>
      </c>
      <c r="K7" s="21"/>
      <c r="L7" s="31" t="s">
        <v>26</v>
      </c>
      <c r="M7" s="32">
        <f>$C$5-$C$8</f>
        <v>0.0228703703703707</v>
      </c>
      <c r="N7" s="32">
        <f>$C$9-$C$12</f>
        <v>0.00378892480311355</v>
      </c>
      <c r="O7" s="33" t="s">
        <v>27</v>
      </c>
    </row>
    <row r="8" ht="42" customHeight="1" spans="1:15">
      <c r="A8" s="34" t="s">
        <v>4</v>
      </c>
      <c r="B8" s="21" t="s">
        <v>28</v>
      </c>
      <c r="C8" s="32">
        <v>0.879887654320988</v>
      </c>
      <c r="D8" s="32">
        <v>0.881131790173725</v>
      </c>
      <c r="E8" s="32">
        <v>0.779555555555555</v>
      </c>
      <c r="F8" s="32">
        <v>0.652888888888889</v>
      </c>
      <c r="G8" s="32">
        <v>0.876616968328405</v>
      </c>
      <c r="H8" s="32">
        <v>0.745873102178023</v>
      </c>
      <c r="I8" s="32">
        <f>$C$5-C8</f>
        <v>0.0228703703703707</v>
      </c>
      <c r="J8" s="35">
        <f>$D$5-D8</f>
        <v>0.0256384052511364</v>
      </c>
      <c r="K8" s="21"/>
      <c r="L8" s="36" t="s">
        <v>29</v>
      </c>
      <c r="M8" s="37" t="s">
        <v>30</v>
      </c>
      <c r="N8" s="37" t="s">
        <v>31</v>
      </c>
      <c r="O8" s="38" t="s">
        <v>32</v>
      </c>
    </row>
    <row r="9" spans="1:15">
      <c r="A9" s="39" t="s">
        <v>5</v>
      </c>
      <c r="B9" s="40" t="s">
        <v>19</v>
      </c>
      <c r="C9" s="41">
        <v>0.869760189840156</v>
      </c>
      <c r="D9" s="41">
        <v>0.868896044902573</v>
      </c>
      <c r="E9" s="41">
        <v>0.784176306794938</v>
      </c>
      <c r="F9" s="41">
        <v>0.737623685287092</v>
      </c>
      <c r="G9" s="41">
        <v>0.814144052830172</v>
      </c>
      <c r="H9" s="41">
        <v>0.773316839697282</v>
      </c>
      <c r="I9" s="41">
        <v>0</v>
      </c>
      <c r="J9" s="42">
        <v>0</v>
      </c>
      <c r="K9" s="21"/>
      <c r="L9" s="21"/>
      <c r="M9" s="21"/>
      <c r="N9" s="21"/>
      <c r="O9" s="21"/>
    </row>
    <row r="10" spans="1:15">
      <c r="A10" s="34" t="s">
        <v>5</v>
      </c>
      <c r="B10" s="21" t="s">
        <v>22</v>
      </c>
      <c r="C10" s="32">
        <v>0.865037989296054</v>
      </c>
      <c r="D10" s="32">
        <v>0.860464986316223</v>
      </c>
      <c r="E10" s="32">
        <v>0.787255710835742</v>
      </c>
      <c r="F10" s="32">
        <v>0.769084603507661</v>
      </c>
      <c r="G10" s="32">
        <v>0.799538828691186</v>
      </c>
      <c r="H10" s="32">
        <v>0.782699520633592</v>
      </c>
      <c r="I10" s="32">
        <f>$C$9-C10</f>
        <v>0.00472220054410166</v>
      </c>
      <c r="J10" s="35">
        <f>$D$9-D10</f>
        <v>0.00843105858634929</v>
      </c>
      <c r="K10" s="21"/>
      <c r="L10" s="21"/>
      <c r="M10" s="21"/>
      <c r="N10" s="21"/>
      <c r="O10" s="21"/>
    </row>
    <row r="11" spans="1:15">
      <c r="A11" s="34" t="s">
        <v>5</v>
      </c>
      <c r="B11" s="21" t="s">
        <v>25</v>
      </c>
      <c r="C11" s="32">
        <v>0.86909888109415</v>
      </c>
      <c r="D11" s="32">
        <v>0.868224731783648</v>
      </c>
      <c r="E11" s="32">
        <v>0.786922456682107</v>
      </c>
      <c r="F11" s="32">
        <v>0.757109677078797</v>
      </c>
      <c r="G11" s="32">
        <v>0.80578505248836</v>
      </c>
      <c r="H11" s="32">
        <v>0.78017162378365</v>
      </c>
      <c r="I11" s="32">
        <f>$C$9-C11</f>
        <v>0.000661308746006117</v>
      </c>
      <c r="J11" s="35">
        <f>$D$9-D11</f>
        <v>0.000671313118924988</v>
      </c>
      <c r="K11" s="21"/>
      <c r="L11" s="21"/>
      <c r="M11" s="21"/>
      <c r="N11" s="21"/>
      <c r="O11" s="21"/>
    </row>
    <row r="12" spans="1:15">
      <c r="A12" s="43" t="s">
        <v>5</v>
      </c>
      <c r="B12" s="44" t="s">
        <v>28</v>
      </c>
      <c r="C12" s="45">
        <v>0.865971265037042</v>
      </c>
      <c r="D12" s="45">
        <v>0.865086679244641</v>
      </c>
      <c r="E12" s="45">
        <v>0.777109439539702</v>
      </c>
      <c r="F12" s="45">
        <v>0.716455837523259</v>
      </c>
      <c r="G12" s="45">
        <v>0.815908493309378</v>
      </c>
      <c r="H12" s="45">
        <v>0.762493880299828</v>
      </c>
      <c r="I12" s="45">
        <f>$C$9-C12</f>
        <v>0.00378892480311355</v>
      </c>
      <c r="J12" s="46">
        <f>$D$9-D12</f>
        <v>0.00380936565793177</v>
      </c>
      <c r="K12" s="21"/>
      <c r="L12" s="21"/>
      <c r="M12" s="21"/>
      <c r="N12" s="21"/>
      <c r="O12" s="21"/>
    </row>
  </sheetData>
  <mergeCells count="3">
    <mergeCell ref="A1:J1"/>
    <mergeCell ref="L1:O1"/>
    <mergeCell ref="A2:J2"/>
  </mergeCells>
  <conditionalFormatting sqref="I5:J1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:G1"/>
    </sheetView>
  </sheetViews>
  <sheetFormatPr defaultColWidth="9" defaultRowHeight="16.8" outlineLevelRow="5" outlineLevelCol="6"/>
  <cols>
    <col min="1" max="1" width="26" customWidth="1"/>
    <col min="2" max="2" width="24" customWidth="1"/>
    <col min="3" max="6" width="16" customWidth="1"/>
    <col min="7" max="7" width="42" customWidth="1"/>
  </cols>
  <sheetData>
    <row r="1" ht="23.2" spans="1:7">
      <c r="A1" s="1" t="s">
        <v>33</v>
      </c>
      <c r="B1" s="1"/>
      <c r="C1" s="1"/>
      <c r="D1" s="1"/>
      <c r="E1" s="1"/>
      <c r="F1" s="1"/>
      <c r="G1" s="1"/>
    </row>
    <row r="3" spans="1:7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</row>
    <row r="4" ht="17" spans="1:7">
      <c r="A4" s="3" t="s">
        <v>41</v>
      </c>
      <c r="B4" s="4" t="s">
        <v>22</v>
      </c>
      <c r="C4" s="15">
        <f>'Ablation Summary'!$C$5-'Ablation Summary'!$C$6</f>
        <v>0.01981975308642</v>
      </c>
      <c r="D4" s="15">
        <f>'Ablation Summary'!$D$5-'Ablation Summary'!$D$6</f>
        <v>0.0190259327302753</v>
      </c>
      <c r="E4" s="15">
        <f>'Ablation Summary'!$C$9-'Ablation Summary'!$C$10</f>
        <v>0.00472220054410166</v>
      </c>
      <c r="F4" s="15">
        <f>'Ablation Summary'!$D$9-'Ablation Summary'!$D$10</f>
        <v>0.00843105858634929</v>
      </c>
      <c r="G4" s="16" t="s">
        <v>42</v>
      </c>
    </row>
    <row r="5" ht="34" spans="1:7">
      <c r="A5" s="6" t="s">
        <v>43</v>
      </c>
      <c r="B5" s="7" t="s">
        <v>25</v>
      </c>
      <c r="C5" s="17">
        <f>'Ablation Summary'!$C$5-'Ablation Summary'!$C$7</f>
        <v>0.00105432098765457</v>
      </c>
      <c r="D5" s="17">
        <f>'Ablation Summary'!$D$5-'Ablation Summary'!$D$7</f>
        <v>-0.000686882947384171</v>
      </c>
      <c r="E5" s="17">
        <f>'Ablation Summary'!$C$9-'Ablation Summary'!$C$11</f>
        <v>0.000661308746006117</v>
      </c>
      <c r="F5" s="17">
        <f>'Ablation Summary'!$D$9-'Ablation Summary'!$D$11</f>
        <v>0.000671313118924988</v>
      </c>
      <c r="G5" s="18" t="s">
        <v>44</v>
      </c>
    </row>
    <row r="6" ht="17" spans="1:7">
      <c r="A6" s="9" t="s">
        <v>45</v>
      </c>
      <c r="B6" s="10" t="s">
        <v>46</v>
      </c>
      <c r="C6" s="19">
        <f>'Ablation Summary'!$C$5-'Ablation Summary'!$C$8</f>
        <v>0.0228703703703707</v>
      </c>
      <c r="D6" s="19">
        <f>'Ablation Summary'!$D$5-'Ablation Summary'!$D$8</f>
        <v>0.0256384052511364</v>
      </c>
      <c r="E6" s="19">
        <f>'Ablation Summary'!$C$9-'Ablation Summary'!$C$12</f>
        <v>0.00378892480311355</v>
      </c>
      <c r="F6" s="19">
        <f>'Ablation Summary'!$D$9-'Ablation Summary'!$D$12</f>
        <v>0.00380936565793177</v>
      </c>
      <c r="G6" s="20" t="s">
        <v>47</v>
      </c>
    </row>
  </sheetData>
  <mergeCells count="1">
    <mergeCell ref="A1:G1"/>
  </mergeCells>
  <conditionalFormatting sqref="C4:F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:D1"/>
    </sheetView>
  </sheetViews>
  <sheetFormatPr defaultColWidth="9" defaultRowHeight="16.8" outlineLevelCol="3"/>
  <cols>
    <col min="1" max="1" width="24" customWidth="1"/>
    <col min="2" max="3" width="16" customWidth="1"/>
    <col min="4" max="4" width="28" customWidth="1"/>
  </cols>
  <sheetData>
    <row r="1" ht="23.2" spans="1:4">
      <c r="A1" s="1" t="s">
        <v>48</v>
      </c>
      <c r="B1" s="1"/>
      <c r="C1" s="1"/>
      <c r="D1" s="1"/>
    </row>
    <row r="3" spans="1:4">
      <c r="A3" s="2" t="s">
        <v>49</v>
      </c>
      <c r="B3" s="2" t="s">
        <v>4</v>
      </c>
      <c r="C3" s="2" t="s">
        <v>5</v>
      </c>
      <c r="D3" s="2" t="s">
        <v>50</v>
      </c>
    </row>
    <row r="4" spans="1:4">
      <c r="A4" s="12" t="s">
        <v>51</v>
      </c>
      <c r="B4" s="4" t="s">
        <v>52</v>
      </c>
      <c r="C4" s="4" t="s">
        <v>52</v>
      </c>
      <c r="D4" s="5" t="s">
        <v>53</v>
      </c>
    </row>
    <row r="5" spans="1:4">
      <c r="A5" s="13" t="s">
        <v>54</v>
      </c>
      <c r="B5" s="7">
        <v>5</v>
      </c>
      <c r="C5" s="7">
        <v>5</v>
      </c>
      <c r="D5" s="8" t="s">
        <v>55</v>
      </c>
    </row>
    <row r="6" spans="1:4">
      <c r="A6" s="13" t="s">
        <v>56</v>
      </c>
      <c r="B6" s="7">
        <v>10</v>
      </c>
      <c r="C6" s="7">
        <v>10</v>
      </c>
      <c r="D6" s="8" t="s">
        <v>55</v>
      </c>
    </row>
    <row r="7" spans="1:4">
      <c r="A7" s="13" t="s">
        <v>57</v>
      </c>
      <c r="B7" s="7">
        <v>2025</v>
      </c>
      <c r="C7" s="7">
        <v>2025</v>
      </c>
      <c r="D7" s="8" t="s">
        <v>55</v>
      </c>
    </row>
    <row r="8" spans="1:4">
      <c r="A8" s="13" t="s">
        <v>58</v>
      </c>
      <c r="B8" s="7">
        <v>300</v>
      </c>
      <c r="C8" s="7">
        <v>100</v>
      </c>
      <c r="D8" s="8" t="s">
        <v>59</v>
      </c>
    </row>
    <row r="9" spans="1:4">
      <c r="A9" s="13" t="s">
        <v>60</v>
      </c>
      <c r="B9" s="7">
        <v>0.00025</v>
      </c>
      <c r="C9" s="7">
        <v>0.00025</v>
      </c>
      <c r="D9" s="8" t="s">
        <v>61</v>
      </c>
    </row>
    <row r="10" spans="1:4">
      <c r="A10" s="13" t="s">
        <v>62</v>
      </c>
      <c r="B10" s="7">
        <v>5e-5</v>
      </c>
      <c r="C10" s="7">
        <v>5e-5</v>
      </c>
      <c r="D10" s="8" t="s">
        <v>61</v>
      </c>
    </row>
    <row r="11" spans="1:4">
      <c r="A11" s="13" t="s">
        <v>63</v>
      </c>
      <c r="B11" s="7">
        <v>256</v>
      </c>
      <c r="C11" s="7">
        <v>256</v>
      </c>
      <c r="D11" s="8" t="s">
        <v>61</v>
      </c>
    </row>
    <row r="12" spans="1:4">
      <c r="A12" s="13" t="s">
        <v>64</v>
      </c>
      <c r="B12" s="7">
        <v>128</v>
      </c>
      <c r="C12" s="7">
        <v>256</v>
      </c>
      <c r="D12" s="8" t="s">
        <v>59</v>
      </c>
    </row>
    <row r="13" spans="1:4">
      <c r="A13" s="13" t="s">
        <v>65</v>
      </c>
      <c r="B13" s="7">
        <v>2</v>
      </c>
      <c r="C13" s="7">
        <v>2</v>
      </c>
      <c r="D13" s="8" t="s">
        <v>61</v>
      </c>
    </row>
    <row r="14" spans="1:4">
      <c r="A14" s="13" t="s">
        <v>66</v>
      </c>
      <c r="B14" s="7">
        <v>0.5</v>
      </c>
      <c r="C14" s="7">
        <v>0.1</v>
      </c>
      <c r="D14" s="8" t="s">
        <v>59</v>
      </c>
    </row>
    <row r="15" spans="1:4">
      <c r="A15" s="13" t="s">
        <v>67</v>
      </c>
      <c r="B15" s="7">
        <v>0.1</v>
      </c>
      <c r="C15" s="7">
        <v>0.3</v>
      </c>
      <c r="D15" s="8" t="s">
        <v>59</v>
      </c>
    </row>
    <row r="16" spans="1:4">
      <c r="A16" s="13" t="s">
        <v>68</v>
      </c>
      <c r="B16" s="7">
        <v>0.2</v>
      </c>
      <c r="C16" s="7">
        <v>0.1</v>
      </c>
      <c r="D16" s="8" t="s">
        <v>59</v>
      </c>
    </row>
    <row r="17" spans="1:4">
      <c r="A17" s="13" t="s">
        <v>69</v>
      </c>
      <c r="B17" s="7">
        <v>1</v>
      </c>
      <c r="C17" s="7">
        <v>1</v>
      </c>
      <c r="D17" s="8" t="s">
        <v>61</v>
      </c>
    </row>
    <row r="18" spans="1:4">
      <c r="A18" s="13" t="s">
        <v>70</v>
      </c>
      <c r="B18" s="7">
        <v>1</v>
      </c>
      <c r="C18" s="7">
        <v>1</v>
      </c>
      <c r="D18" s="8" t="s">
        <v>61</v>
      </c>
    </row>
    <row r="19" spans="1:4">
      <c r="A19" s="13" t="s">
        <v>71</v>
      </c>
      <c r="B19" s="7">
        <v>0.25</v>
      </c>
      <c r="C19" s="7">
        <v>0.25</v>
      </c>
      <c r="D19" s="8" t="s">
        <v>61</v>
      </c>
    </row>
    <row r="20" spans="1:4">
      <c r="A20" s="13" t="s">
        <v>72</v>
      </c>
      <c r="B20" s="7">
        <v>128</v>
      </c>
      <c r="C20" s="7">
        <v>128</v>
      </c>
      <c r="D20" s="8" t="s">
        <v>61</v>
      </c>
    </row>
    <row r="21" spans="1:4">
      <c r="A21" s="13" t="s">
        <v>73</v>
      </c>
      <c r="B21" s="7">
        <v>0</v>
      </c>
      <c r="C21" s="7">
        <v>0</v>
      </c>
      <c r="D21" s="8" t="s">
        <v>61</v>
      </c>
    </row>
    <row r="22" spans="1:4">
      <c r="A22" s="14" t="s">
        <v>74</v>
      </c>
      <c r="B22" s="10">
        <v>-2</v>
      </c>
      <c r="C22" s="10">
        <v>-2</v>
      </c>
      <c r="D22" s="11" t="s">
        <v>61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"/>
    </sheetView>
  </sheetViews>
  <sheetFormatPr defaultColWidth="9" defaultRowHeight="16.8" outlineLevelCol="2"/>
  <cols>
    <col min="1" max="1" width="14" customWidth="1"/>
    <col min="2" max="2" width="18" customWidth="1"/>
    <col min="3" max="3" width="70" customWidth="1"/>
  </cols>
  <sheetData>
    <row r="1" ht="23.2" spans="1:3">
      <c r="A1" s="1" t="s">
        <v>75</v>
      </c>
      <c r="B1" s="1"/>
      <c r="C1" s="1"/>
    </row>
    <row r="3" spans="1:3">
      <c r="A3" s="2" t="s">
        <v>7</v>
      </c>
      <c r="B3" s="2" t="s">
        <v>8</v>
      </c>
      <c r="C3" s="2" t="s">
        <v>76</v>
      </c>
    </row>
    <row r="4" spans="1:3">
      <c r="A4" s="3" t="s">
        <v>4</v>
      </c>
      <c r="B4" s="4" t="s">
        <v>19</v>
      </c>
      <c r="C4" s="5" t="s">
        <v>77</v>
      </c>
    </row>
    <row r="5" spans="1:3">
      <c r="A5" s="6" t="s">
        <v>4</v>
      </c>
      <c r="B5" s="7" t="s">
        <v>22</v>
      </c>
      <c r="C5" s="8" t="s">
        <v>78</v>
      </c>
    </row>
    <row r="6" spans="1:3">
      <c r="A6" s="6" t="s">
        <v>4</v>
      </c>
      <c r="B6" s="7" t="s">
        <v>25</v>
      </c>
      <c r="C6" s="8" t="s">
        <v>79</v>
      </c>
    </row>
    <row r="7" spans="1:3">
      <c r="A7" s="6" t="s">
        <v>4</v>
      </c>
      <c r="B7" s="7" t="s">
        <v>28</v>
      </c>
      <c r="C7" s="8" t="s">
        <v>80</v>
      </c>
    </row>
    <row r="8" spans="1:3">
      <c r="A8" s="6" t="s">
        <v>5</v>
      </c>
      <c r="B8" s="7" t="s">
        <v>19</v>
      </c>
      <c r="C8" s="8" t="s">
        <v>81</v>
      </c>
    </row>
    <row r="9" spans="1:3">
      <c r="A9" s="6" t="s">
        <v>5</v>
      </c>
      <c r="B9" s="7" t="s">
        <v>22</v>
      </c>
      <c r="C9" s="8" t="s">
        <v>82</v>
      </c>
    </row>
    <row r="10" spans="1:3">
      <c r="A10" s="6" t="s">
        <v>5</v>
      </c>
      <c r="B10" s="7" t="s">
        <v>25</v>
      </c>
      <c r="C10" s="8" t="s">
        <v>83</v>
      </c>
    </row>
    <row r="11" spans="1:3">
      <c r="A11" s="9" t="s">
        <v>5</v>
      </c>
      <c r="B11" s="10" t="s">
        <v>28</v>
      </c>
      <c r="C11" s="11" t="s">
        <v>84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Ablation Summary</vt:lpstr>
      <vt:lpstr>Module Effects</vt:lpstr>
      <vt:lpstr>Parameters</vt:lpstr>
      <vt:lpstr>Source 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海口柠檬甜</cp:lastModifiedBy>
  <dcterms:created xsi:type="dcterms:W3CDTF">2026-08-17T09:01:59Z</dcterms:created>
  <dcterms:modified xsi:type="dcterms:W3CDTF">2026-08-17T23:14:47Z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7F3553C2DB000FC66725836AFE5E9B76_42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