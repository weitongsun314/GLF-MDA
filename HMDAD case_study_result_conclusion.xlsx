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480"/>
  </bookViews>
  <sheets>
    <sheet name="summary" sheetId="1" r:id="rId1"/>
    <sheet name="config" sheetId="2" r:id="rId2"/>
    <sheet name="Asthma_top50" sheetId="3" r:id="rId3"/>
    <sheet name="Asthma_all" sheetId="4" r:id="rId4"/>
    <sheet name="IBD_top50" sheetId="5" r:id="rId5"/>
    <sheet name="IBD_all" sheetId="6" r:id="rId6"/>
    <sheet name="Literature_summary" sheetId="7" r:id="rId7"/>
    <sheet name="Citation_Audit" sheetId="8" r:id="rId8"/>
    <sheet name="Remaining_Pending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<sst xmlns="http://schemas.openxmlformats.org/spreadsheetml/2006/main" count="3696" uniqueCount="803">
  <si>
    <t>HMDAD 案例研究：代码输出、预测命中与文献验证总览</t>
  </si>
  <si>
    <t>核心目的：先隐藏 Asthma / IBD 在 HMDAD 中的已知关联，再让 Full 模型对 292 个微生物重新打分排序；同时检查“已知关联能否被重新找回”以及“高排名预测能否被独立人体文献支持”。</t>
  </si>
  <si>
    <t>1. 实验设置（代码实际运行配置）</t>
  </si>
  <si>
    <t>一眼看结论</t>
  </si>
  <si>
    <t>项目</t>
  </si>
  <si>
    <t>实际设置</t>
  </si>
  <si>
    <t>指标</t>
  </si>
  <si>
    <t>Asthma</t>
  </si>
  <si>
    <t>IBD</t>
  </si>
  <si>
    <t>怎么看</t>
  </si>
  <si>
    <t>结论</t>
  </si>
  <si>
    <t>数据集</t>
  </si>
  <si>
    <t>HMDAD</t>
  </si>
  <si>
    <t>模型</t>
  </si>
  <si>
    <t>Full</t>
  </si>
  <si>
    <t>Top10 严格人体文献确认</t>
  </si>
  <si>
    <t>10/10</t>
  </si>
  <si>
    <t>100% / 100%</t>
  </si>
  <si>
    <t>非常强</t>
  </si>
  <si>
    <t>案例疾病</t>
  </si>
  <si>
    <t>Asthma (ID=4); IBD (ID=23)</t>
  </si>
  <si>
    <t>模式</t>
  </si>
  <si>
    <t>reset_known</t>
  </si>
  <si>
    <t>Top50 严格人体文献确认</t>
  </si>
  <si>
    <t>30/50</t>
  </si>
  <si>
    <t>38/50</t>
  </si>
  <si>
    <t>60% / 76%</t>
  </si>
  <si>
    <t>较强</t>
  </si>
  <si>
    <t>候选微生物</t>
  </si>
  <si>
    <t>每个疾病 292 个</t>
  </si>
  <si>
    <t>case repeats</t>
  </si>
  <si>
    <t>10</t>
  </si>
  <si>
    <t>Top50 广义人体证据支持</t>
  </si>
  <si>
    <t>44/50</t>
  </si>
  <si>
    <t>46/50</t>
  </si>
  <si>
    <t>88% / 92%</t>
  </si>
  <si>
    <t>很强</t>
  </si>
  <si>
    <t>随机种子</t>
  </si>
  <si>
    <t>2025–2034</t>
  </si>
  <si>
    <t>训练轮数</t>
  </si>
  <si>
    <t>300 epochs</t>
  </si>
  <si>
    <t>Top50 已知关联恢复</t>
  </si>
  <si>
    <t>6/9</t>
  </si>
  <si>
    <t>3/3</t>
  </si>
  <si>
    <t>66.7% / 100%</t>
  </si>
  <si>
    <t>IBD 全部找回</t>
  </si>
  <si>
    <t>排序分数</t>
  </si>
  <si>
    <t>10 次预测概率的均值</t>
  </si>
  <si>
    <t>隐藏规则</t>
  </si>
  <si>
    <t>目标疾病整行关联隐藏且不参与正/负采样</t>
  </si>
  <si>
    <t>Top10 中 HMDAD 未收录但被直接文献支持</t>
  </si>
  <si>
    <t>6/6</t>
  </si>
  <si>
    <t>8/8</t>
  </si>
  <si>
    <t>最有价值</t>
  </si>
  <si>
    <t>2. 代码输出：隐藏已知关联后，模型重新“命中/找回”了多少？</t>
  </si>
  <si>
    <t>Disease</t>
  </si>
  <si>
    <t>原始已知关联</t>
  </si>
  <si>
    <t>Top10 找回</t>
  </si>
  <si>
    <t>Top10 命中率</t>
  </si>
  <si>
    <t>Top20 找回</t>
  </si>
  <si>
    <t>Top20 命中率</t>
  </si>
  <si>
    <t>Top50 找回</t>
  </si>
  <si>
    <t>Top50 命中率</t>
  </si>
  <si>
    <t>候选总数</t>
  </si>
  <si>
    <t>老师可直接理解的结论</t>
  </si>
  <si>
    <t>Top50 内重新找回 6/9 条数据库已知关系，说明模型能恢复多数被隐藏关联。</t>
  </si>
  <si>
    <t>Top50 内重新找回 3/3 条数据库已知关系，全部恢复。</t>
  </si>
  <si>
    <t>3. 预测结果：Top-K 预测有多少得到外部人体文献支持？</t>
  </si>
  <si>
    <t>Top K</t>
  </si>
  <si>
    <t>严格直接人体证据</t>
  </si>
  <si>
    <t>严格确认率</t>
  </si>
  <si>
    <t>直接+广义人体支持</t>
  </si>
  <si>
    <t>广义支持率</t>
  </si>
  <si>
    <t>GATMDA 论文报告</t>
  </si>
  <si>
    <t>与 GATMDA 的关系</t>
  </si>
  <si>
    <t>是否可作为论文主结果</t>
  </si>
  <si>
    <t>说明</t>
  </si>
  <si>
    <t>相同</t>
  </si>
  <si>
    <t>是</t>
  </si>
  <si>
    <t>Top10 全部有直接人体文献支持。</t>
  </si>
  <si>
    <t>严格确认数相同</t>
  </si>
  <si>
    <t>严格口径 18/20；若计 broader 支持则 19/20。</t>
  </si>
  <si>
    <t>严格口径更保守</t>
  </si>
  <si>
    <t>30 条为直接人体证据；另有 14 条为较间接人体支持。</t>
  </si>
  <si>
    <t>18 条直接人体证据；其余 2 条有 broader 人体支持。</t>
  </si>
  <si>
    <t>严格确认 38；广义支持 46</t>
  </si>
  <si>
    <t>Top50 中 38 条直接人体证据，46 条至少有人体层面支持。</t>
  </si>
  <si>
    <t>4. 最值得展示的结果：Top10 中 HMDAD 没收录的预测，外部文献是否支持？</t>
  </si>
  <si>
    <t>Top10 总数</t>
  </si>
  <si>
    <t>Top10 中 HMDAD 已知</t>
  </si>
  <si>
    <t>Top10 中 HMDAD 未收录</t>
  </si>
  <si>
    <t>未收录中直接人体文献支持</t>
  </si>
  <si>
    <t>支持率</t>
  </si>
  <si>
    <t>如何理解</t>
  </si>
  <si>
    <t>论文表述建议</t>
  </si>
  <si>
    <t>注意事项</t>
  </si>
  <si>
    <t>数据来源</t>
  </si>
  <si>
    <t>数据库没告诉模型的 Top10 候选中，有 6 个；这 6 个全部能找到直接人体文献支持。</t>
  </si>
  <si>
    <t>potential associations absent from HMDAD but supported by independent human studies</t>
  </si>
  <si>
    <t>不能称为“全新发现”，因为文献已经存在。</t>
  </si>
  <si>
    <t>Asthma_top50</t>
  </si>
  <si>
    <t>数据库没告诉模型的 Top10 候选中，有 8 个；这 8 个全部能找到直接人体文献支持。</t>
  </si>
  <si>
    <t>IBD_top50</t>
  </si>
  <si>
    <t>5. 给老师的最终判断</t>
  </si>
  <si>
    <t>结论 1</t>
  </si>
  <si>
    <t>代码运行是有效的：隐藏答案后，Asthma 的 9 条原有已知关联在 Top50 找回 6 条（66.7%）；IBD 的 3 条全部在 Top50 找回（100%）。</t>
  </si>
  <si>
    <t>结论 2</t>
  </si>
  <si>
    <t>文献验证结果强：两种疾病 Top10 均达到 10/10 的严格人体文献确认；Top50 严格确认率为 Asthma 60%、IBD 76%。</t>
  </si>
  <si>
    <t>结论 3</t>
  </si>
  <si>
    <t>如果把上/下位分类群、MR、疾病表型等较广义人体证据也纳入，Top50 支持率进一步达到 Asthma 88%、IBD 92%。</t>
  </si>
  <si>
    <t>结论 4</t>
  </si>
  <si>
    <t>最有价值的是：Top10 中未被 HMDAD 收录的预测，Asthma 6/6、IBD 8/8 都有直接人体文献支持，说明模型能把数据库未标注但具有生物医学依据的候选排到前列。</t>
  </si>
  <si>
    <t>总体评价</t>
  </si>
  <si>
    <t>案例研究结果是正面的，足以支撑论文中“模型不仅能恢复已知关联，也能优先排序出具有外部文献证据的潜在关联”这一结论。</t>
  </si>
  <si>
    <t>术语说明：①“已知关联恢复/命中”只表示被隐藏的 HMDAD 已知关系重新进入 Top-K，不等于分类准确率；②“文献确认”表示外部人体研究支持该微生物与疾病存在关联；③ HMDAD 未收录 ≠ 生物学上全新发现，因此论文中应写 potential association，而非 novel discovery。</t>
  </si>
  <si>
    <t>附录：原始代码 summary 输出（保留供复核）</t>
  </si>
  <si>
    <t>disease_id</t>
  </si>
  <si>
    <t>disease_name</t>
  </si>
  <si>
    <t>mode</t>
  </si>
  <si>
    <t>case_repeats</t>
  </si>
  <si>
    <t>original_known_count</t>
  </si>
  <si>
    <t>candidate_count</t>
  </si>
  <si>
    <t>top10_original_known_recovered</t>
  </si>
  <si>
    <t>top20_original_known_recovered</t>
  </si>
  <si>
    <t>top50_original_known_recovered</t>
  </si>
  <si>
    <t>mdmf_gate_mean</t>
  </si>
  <si>
    <t>mdmf_gate_std</t>
  </si>
  <si>
    <t>Inflammatory bowel disease(IBD)</t>
  </si>
  <si>
    <t>dataset</t>
  </si>
  <si>
    <t>case_study_mode</t>
  </si>
  <si>
    <t>target_disease_ids</t>
  </si>
  <si>
    <t>seed_start</t>
  </si>
  <si>
    <t>epochs</t>
  </si>
  <si>
    <t>lr</t>
  </si>
  <si>
    <t>weight_decay</t>
  </si>
  <si>
    <t>feature_out</t>
  </si>
  <si>
    <t>hidden_size</t>
  </si>
  <si>
    <t>num_layers</t>
  </si>
  <si>
    <t>dropout</t>
  </si>
  <si>
    <t>drop_rate</t>
  </si>
  <si>
    <t>sim_threshold</t>
  </si>
  <si>
    <t>negative_multiplier</t>
  </si>
  <si>
    <t>alpha</t>
  </si>
  <si>
    <t>beta</t>
  </si>
  <si>
    <t>mdmf_dim</t>
  </si>
  <si>
    <t>mdmf_loss_weight</t>
  </si>
  <si>
    <t>mdmf_gate_init</t>
  </si>
  <si>
    <t>model_variant</t>
  </si>
  <si>
    <t>ranking_score</t>
  </si>
  <si>
    <t>reset_known_training_rule</t>
  </si>
  <si>
    <t>4,23</t>
  </si>
  <si>
    <t>full</t>
  </si>
  <si>
    <t>mean predicted probability across 10 run(s)</t>
  </si>
  <si>
    <t>Target disease row is set to zero and excluded from positive/negative training sampling.</t>
  </si>
  <si>
    <t>rank</t>
  </si>
  <si>
    <t>microbe_index_0based</t>
  </si>
  <si>
    <t>microbe_id</t>
  </si>
  <si>
    <t>microbe_name</t>
  </si>
  <si>
    <t>score_mean</t>
  </si>
  <si>
    <t>score_std</t>
  </si>
  <si>
    <t>originally_known_in_HMDAD</t>
  </si>
  <si>
    <t>literature_status</t>
  </si>
  <si>
    <t>PMID_or_DOI</t>
  </si>
  <si>
    <t>evidence_notes</t>
  </si>
  <si>
    <t>source_url</t>
  </si>
  <si>
    <t>evidence_basis</t>
  </si>
  <si>
    <t>verification_scope</t>
  </si>
  <si>
    <t>Clostridium difficile</t>
  </si>
  <si>
    <t>Confirmed (direct human)</t>
  </si>
  <si>
    <t>21872915; DOI 10.1016/j.jaci.2011.07.027</t>
  </si>
  <si>
    <t>婴儿期 C. difficile 定植与后续哮喘发生相关。</t>
  </si>
  <si>
    <t>https://pubmed.ncbi.nlm.nih.gov/21872915/</t>
  </si>
  <si>
    <t>Independent PubMed verification</t>
  </si>
  <si>
    <t>strict/direct</t>
  </si>
  <si>
    <t>Actinobacteria</t>
  </si>
  <si>
    <t>26220531</t>
  </si>
  <si>
    <t>严重哮喘气道微生物组中 Actinobacteria 相关差异得到人体研究支持。</t>
  </si>
  <si>
    <t>https://pubmed.ncbi.nlm.nih.gov/26220531/</t>
  </si>
  <si>
    <t>Clostridium coccoides</t>
  </si>
  <si>
    <t>21477358; DOI 10.1186/1471-2180-11-68</t>
  </si>
  <si>
    <t>婴儿粪便 C. coccoides subcluster XIVa 与后续哮喘风险指标相关。</t>
  </si>
  <si>
    <t>https://pubmed.ncbi.nlm.nih.gov/21477358/</t>
  </si>
  <si>
    <t>Firmicutes</t>
  </si>
  <si>
    <t>27078029</t>
  </si>
  <si>
    <t>人体气道微生物组研究报道 Firmicutes 在哮喘/严重哮喘中发生改变。</t>
  </si>
  <si>
    <t>https://pubmed.ncbi.nlm.nih.gov/27078029/</t>
  </si>
  <si>
    <t>Proteobacteria</t>
  </si>
  <si>
    <t>23265859; DOI 10.1016/j.jaci.2012.11.013</t>
  </si>
  <si>
    <t>成人活动性哮喘诱导痰中 Proteobacteria 显著增加。</t>
  </si>
  <si>
    <t>https://pubmed.ncbi.nlm.nih.gov/23265859/</t>
  </si>
  <si>
    <t>Bacteroidetes</t>
  </si>
  <si>
    <t>人体气道微生物组研究报道 Bacteroidetes 在哮喘中发生改变。</t>
  </si>
  <si>
    <t>Prevotella</t>
  </si>
  <si>
    <t>27433177; DOI 10.4046/trd.2016.79.3.165</t>
  </si>
  <si>
    <t>Steroid-naïve 哮喘患者痰液中 Prevotella 相关 OTU 与哮喘相关。</t>
  </si>
  <si>
    <t>https://pubmed.ncbi.nlm.nih.gov/27433177/</t>
  </si>
  <si>
    <t>Helicobacter pylori</t>
  </si>
  <si>
    <t>18598192; DOI 10.1086/590158</t>
  </si>
  <si>
    <t>H. pylori 定植与儿童哮喘呈负相关；负向关联同样属于 association。</t>
  </si>
  <si>
    <t>https://pubmed.ncbi.nlm.nih.gov/18598192/</t>
  </si>
  <si>
    <t>Staphylococcus aureus</t>
  </si>
  <si>
    <t>25533526; DOI 10.1016/j.jaci.2014.10.052</t>
  </si>
  <si>
    <t>S. aureus 定植与儿童/青年喘鸣和哮喘相关。</t>
  </si>
  <si>
    <t>https://pubmed.ncbi.nlm.nih.gov/25533526/</t>
  </si>
  <si>
    <t>Clostridia</t>
  </si>
  <si>
    <t>36847620; DOI 10.1111/all.15691</t>
  </si>
  <si>
    <t>成人嗜酸粒细胞性哮喘研究观察到 commensal clostridia 改变。</t>
  </si>
  <si>
    <t>https://pubmed.ncbi.nlm.nih.gov/36847620/</t>
  </si>
  <si>
    <t>Lachnospiraceae</t>
  </si>
  <si>
    <t>Lachnospiraceae 与哮喘 Type-2 炎症及肺功能变化相关。</t>
  </si>
  <si>
    <t>Lactobacillus</t>
  </si>
  <si>
    <t>41266326</t>
  </si>
  <si>
    <t>人体研究报道 Lactobacillus 与哮喘状态相关（丰度降低）。</t>
  </si>
  <si>
    <t>https://pubmed.ncbi.nlm.nih.gov/41266326/</t>
  </si>
  <si>
    <t>Enterobacteriaceae</t>
  </si>
  <si>
    <t>Enterobacteriaceae 在哮喘气道样本中相对增加。</t>
  </si>
  <si>
    <t>Clostridium leptum</t>
  </si>
  <si>
    <t>35349868</t>
  </si>
  <si>
    <t>哮喘患者粪便 C. leptum 水平显著降低。</t>
  </si>
  <si>
    <t>https://pubmed.ncbi.nlm.nih.gov/35349868/</t>
  </si>
  <si>
    <t>Streptococcus</t>
  </si>
  <si>
    <t>25865368; DOI 10.1016/j.chom.2015.03.008</t>
  </si>
  <si>
    <t>婴儿早期 Streptococcus 鼻咽定植可预测后续哮喘风险。</t>
  </si>
  <si>
    <t>https://pubmed.ncbi.nlm.nih.gov/25865368/</t>
  </si>
  <si>
    <t>Staphylococcus</t>
  </si>
  <si>
    <t>38467291</t>
  </si>
  <si>
    <t>儿童哮喘急性加重样本中 Staphylococcus 与对照存在差异。</t>
  </si>
  <si>
    <t>https://pubmed.ncbi.nlm.nih.gov/38467291/</t>
  </si>
  <si>
    <t>Burkholderia</t>
  </si>
  <si>
    <t>Supported (human broader/indirect)</t>
  </si>
  <si>
    <t>35386977</t>
  </si>
  <si>
    <t>哮喘/喘鸣人群研究支持 Burkholderiaceae 家族层面变化；对 Burkholderia 属属于上位分类群证据。</t>
  </si>
  <si>
    <t>https://pubmed.ncbi.nlm.nih.gov/35386977/</t>
  </si>
  <si>
    <t>Independent PubMed verification; family-level</t>
  </si>
  <si>
    <t>broader/indirect</t>
  </si>
  <si>
    <t>Enterococcus</t>
  </si>
  <si>
    <t>人体研究报道 Enterococcus 物种与哮喘状态相关。</t>
  </si>
  <si>
    <t>Haemophilus</t>
  </si>
  <si>
    <t>婴儿早期 Haemophilus 鼻咽定植与后续喘鸣/哮喘风险相关。</t>
  </si>
  <si>
    <t>Escherichia coli</t>
  </si>
  <si>
    <t>Pending / no direct human evidence verified yet</t>
  </si>
  <si>
    <t>29161804</t>
  </si>
  <si>
    <t>反查 GATMDA 所列 PMID 29161804：该文主要讨论微生物来源 extracellular vesicles 与慢性肺部炎症/实验模型，并非直接的人体 E. coli–asthma 关联证据，因此不计为 confirmed。</t>
  </si>
  <si>
    <t>https://pubmed.ncbi.nlm.nih.gov/29161804/</t>
  </si>
  <si>
    <t>Reverse-checked GATMDA lead; not direct human</t>
  </si>
  <si>
    <t>pending</t>
  </si>
  <si>
    <t>Clostridium</t>
  </si>
  <si>
    <t>36847620</t>
  </si>
  <si>
    <t>人体哮喘研究支持 commensal clostridia 整体改变，但未锁定到泛 Clostridium 属的单一效应。</t>
  </si>
  <si>
    <t>Independent PubMed verification; broader taxon</t>
  </si>
  <si>
    <t>Stenotrophomonas maltophilia</t>
  </si>
  <si>
    <t>40535324</t>
  </si>
  <si>
    <t>人体哮喘气道微生物组研究中 Stenotrophomonas 属在不同哮喘表型间呈差异；但未解析到 Stenotrophomonas maltophilia 精确物种，因此按属级间接证据处理。</t>
  </si>
  <si>
    <t>https://pubmed.ncbi.nlm.nih.gov/40535324/</t>
  </si>
  <si>
    <t>Independent human study; genus-level support</t>
  </si>
  <si>
    <t>Veillonella</t>
  </si>
  <si>
    <t>29862523</t>
  </si>
  <si>
    <t>人体气道微生物研究报道 Veillonella 在哮喘患者中发生改变。</t>
  </si>
  <si>
    <t>https://pubmed.ncbi.nlm.nih.gov/29862523/</t>
  </si>
  <si>
    <t>Fusobacterium</t>
  </si>
  <si>
    <t>37844548</t>
  </si>
  <si>
    <t>人体 steroid-naive asthma 诱导痰液研究中，Fusobacterium 为哮喘患者丰富/特征性属之一，构成直接人体关联证据。</t>
  </si>
  <si>
    <t>https://pubmed.ncbi.nlm.nih.gov/37844548/</t>
  </si>
  <si>
    <t>Clostridiales</t>
  </si>
  <si>
    <t>39373519</t>
  </si>
  <si>
    <t>人群遗传因果推断研究提示 Clostridiales 与 non-allergic asthma 存在关联；因属于 Mendelian randomization 而非直接病例-对照微生物组观察，保守记为间接支持。</t>
  </si>
  <si>
    <t>https://pubmed.ncbi.nlm.nih.gov/39373519/</t>
  </si>
  <si>
    <t>Independent human MR evidence</t>
  </si>
  <si>
    <t>Bacteroides vulgatus</t>
  </si>
  <si>
    <t>2026 JACI multicenter cohort</t>
  </si>
  <si>
    <t>多中心儿童队列中 Bacteroides vulgatus 与肺功能指标及宿主遗传-微生物互作相关，但并未显示其自身在 asthma vs control 间显著差异，因此不计严格 confirmed。</t>
  </si>
  <si>
    <t>https://www.sciencedirect.com/science/article/pii/S0091674925022353</t>
  </si>
  <si>
    <t>Independent human cohort; lung-function/host-genetic association</t>
  </si>
  <si>
    <t>Acinetobacter</t>
  </si>
  <si>
    <t>27433177</t>
  </si>
  <si>
    <t>Steroid-naïve 哮喘患者痰液中 Acinetobacter 相关 OTU 更常见。</t>
  </si>
  <si>
    <t>Faecalibacterium prausnitzii</t>
  </si>
  <si>
    <t>30765132</t>
  </si>
  <si>
    <t>过敏性哮喘儿童肠道 F. prausnitzii 水平降低。</t>
  </si>
  <si>
    <t>https://pubmed.ncbi.nlm.nih.gov/30765132/</t>
  </si>
  <si>
    <t>Gammaproteobacteria</t>
  </si>
  <si>
    <t>23265859; GATMDA lead PMID 28947029</t>
  </si>
  <si>
    <t>人体哮喘气道研究明确支持 Proteobacteria 富集；Gammaproteobacteria 为其下级分类，GATMDA 另给出 PMID 28947029 线索。</t>
  </si>
  <si>
    <t>Independent broader evidence + GATMDA lead</t>
  </si>
  <si>
    <t>Klebsiella pneumoniae</t>
  </si>
  <si>
    <t>36342141; GATMDA lead PMID 26953325</t>
  </si>
  <si>
    <t>成人哮喘患者来源的 K. pneumoniae 临床分离株有人体来源证据，但并非强病例-对照关联；GATMDA另给出 PMID 26953325。</t>
  </si>
  <si>
    <t>https://pubmed.ncbi.nlm.nih.gov/36342141/</t>
  </si>
  <si>
    <t>Human isolates + GATMDA lead</t>
  </si>
  <si>
    <t>Shigella dysenteriae</t>
  </si>
  <si>
    <t/>
  </si>
  <si>
    <t>GATMDA Table 4 对 Shigella dysenteriae–asthma 标为 unconfirmed；当前未核实直接人体证据。</t>
  </si>
  <si>
    <t>GATMDA Table 4: unconfirmed</t>
  </si>
  <si>
    <t>Enterobacter aerogenes</t>
  </si>
  <si>
    <t>23842440</t>
  </si>
  <si>
    <t>反查 GATMDA 所列 PMID 23842440：该文为 Fagonia olivieri 植物提取物/抗菌活性研究，并非 Enterobacter aerogenes–asthma 人体关联证据，故不能作为确认文献。</t>
  </si>
  <si>
    <t>https://pubmed.ncbi.nlm.nih.gov/23842440/</t>
  </si>
  <si>
    <t>Reverse-checked GATMDA lead; citation mismatch</t>
  </si>
  <si>
    <t>Enterobacter hormaechei</t>
  </si>
  <si>
    <t>GATMDA Table 4 对 Enterobacter hormaechei–asthma 标为 unconfirmed。</t>
  </si>
  <si>
    <t>Coriobacteriaceae</t>
  </si>
  <si>
    <t>40826690</t>
  </si>
  <si>
    <t>双样本 Mendelian randomization 研究提示 Coriobacteriaceae 与 childhood asthma 风险存在因果关联；属于人群遗传证据，保守记为间接支持。</t>
  </si>
  <si>
    <t>https://pubmed.ncbi.nlm.nih.gov/40826690/</t>
  </si>
  <si>
    <t>Prevotellaceae</t>
  </si>
  <si>
    <t>34422359</t>
  </si>
  <si>
    <t>严重哮喘人体肠道研究报告 Prevotellaceae 与严重哮喘相关。</t>
  </si>
  <si>
    <t>https://pubmed.ncbi.nlm.nih.gov/34422359/</t>
  </si>
  <si>
    <t>Corynebacterium</t>
  </si>
  <si>
    <t>31844063; DOI 10.1038/s41467-019-13698-x</t>
  </si>
  <si>
    <t>儿童纵向研究中 Corynebacterium 丰度与严重哮喘急性加重呈负相关。</t>
  </si>
  <si>
    <t>https://pubmed.ncbi.nlm.nih.gov/31844063/</t>
  </si>
  <si>
    <t>Klebsiella</t>
  </si>
  <si>
    <t>严重哮喘气道研究中 Klebsiella 属成员显著增加。</t>
  </si>
  <si>
    <t>Actinomyces</t>
  </si>
  <si>
    <t>人体 steroid-naive asthma 诱导痰液研究中 Actinomyces 为丰富/特征性属之一，直接支持 Actinomyces–asthma 关联。</t>
  </si>
  <si>
    <t>Enterococcus faecium</t>
  </si>
  <si>
    <t>人体研究支持 Enterococcus 属/物种与哮喘相关，但当前未独立核实到 E. faecium 这一精确物种。</t>
  </si>
  <si>
    <t>Independent genus-level</t>
  </si>
  <si>
    <t>Erysipelotrichales</t>
  </si>
  <si>
    <t>32598794; 35083405</t>
  </si>
  <si>
    <t>人体 bronchial asthma 肠道微生物研究报告 Erysipelotrichaceae/Erysipelotrichia 改变，可对上一级 Erysipelotrichales 提供分类学间接支持。</t>
  </si>
  <si>
    <t>https://pubmed.ncbi.nlm.nih.gov/32598794/</t>
  </si>
  <si>
    <t>Independent human study; adjacent taxonomic-level support</t>
  </si>
  <si>
    <t>Porphyromonas gingivalis</t>
  </si>
  <si>
    <t>17088145; DOI 10.1016/j.jaci.2006.07.029</t>
  </si>
  <si>
    <t>人群研究中 P. gingivalis 血清反应与当前哮喘患病率呈负相关。</t>
  </si>
  <si>
    <t>https://pubmed.ncbi.nlm.nih.gov/17088145/</t>
  </si>
  <si>
    <t>Selenomonas</t>
  </si>
  <si>
    <t>32778700; GATMDA lead PMID 27093794</t>
  </si>
  <si>
    <t>儿童哮喘相关队列中 Selenomonas 与过敏/IgE 表型相关；GATMDA另给出 PMID 27093794。</t>
  </si>
  <si>
    <t>https://pubmed.ncbi.nlm.nih.gov/32778700/</t>
  </si>
  <si>
    <t>Independent phenotype-level + GATMDA lead</t>
  </si>
  <si>
    <t>Propionibacterium acnes</t>
  </si>
  <si>
    <t>人体哮喘痰液研究报告 Propionibacterium acnes 相关 OTU 在哮喘组更常见。</t>
  </si>
  <si>
    <t>Propionibacterium</t>
  </si>
  <si>
    <t>27433177; GATMDA lead PMID 13268970</t>
  </si>
  <si>
    <t>P. acnes 的人体哮喘证据可支持 Propionibacterium 属层面；GATMDA另列 PMID 13268970。</t>
  </si>
  <si>
    <t>Species-to-genus support + GATMDA lead</t>
  </si>
  <si>
    <t>Rickettsiales</t>
  </si>
  <si>
    <t>26627545</t>
  </si>
  <si>
    <t>人体哮喘气道微生物组研究中 Rickettsia 相关分类群在 asthmatics 中富集；对 Rickettsiales 目级预测属于下位分类群支持，故记为间接证据。</t>
  </si>
  <si>
    <t>https://pubmed.ncbi.nlm.nih.gov/26627545/</t>
  </si>
  <si>
    <t>Independent human study; lower-taxon support</t>
  </si>
  <si>
    <t>Lysobacter</t>
  </si>
  <si>
    <t>当前未核实 Lysobacter 与哮喘的直接人体关联。</t>
  </si>
  <si>
    <t>Pending</t>
  </si>
  <si>
    <t>Methanobrevibacter smithii</t>
  </si>
  <si>
    <t>30208875; DOI 10.1186/s12866-018-1257-x</t>
  </si>
  <si>
    <t>UK 成人 asthma metagenome-wide association study 直接比较 asthma 与 healthy controls，Methanobrevibacter smithii 在健康对照中的丰度更高，即在 asthma 中相对降低，属于直接人体关联。</t>
  </si>
  <si>
    <t>https://pubmed.ncbi.nlm.nih.gov/30208875/</t>
  </si>
  <si>
    <t>Erysipelotrichaceae</t>
  </si>
  <si>
    <t>人体 bronchial asthma/UC/IBS 微生物组研究明确报告 Erysipelotrichaceae 家族在 bronchial asthma 人群中的组成变化，构成精确家族级人体证据。</t>
  </si>
  <si>
    <t>Staphylococcus epidermidis</t>
  </si>
  <si>
    <t>33592204</t>
  </si>
  <si>
    <t>哮喘相关鼻腔微生物组研究中 S. epidermidis 与致敏/炎症表型相关，非直接病例-对照效应。</t>
  </si>
  <si>
    <t>https://pubmed.ncbi.nlm.nih.gov/33592204/</t>
  </si>
  <si>
    <t>Independent phenotype-level</t>
  </si>
  <si>
    <t>Dietzia maris</t>
  </si>
  <si>
    <t>当前未核实 Dietzia maris 与哮喘的直接人体关联。</t>
  </si>
  <si>
    <t>Fusobacterium nucleatum</t>
  </si>
  <si>
    <t>Coxiellaceae</t>
  </si>
  <si>
    <t>Desulfovibrio</t>
  </si>
  <si>
    <t>Porphyromonadaceae</t>
  </si>
  <si>
    <t>Oxalobacter formigenes</t>
  </si>
  <si>
    <t>Bifidobacterium</t>
  </si>
  <si>
    <t>Prevotella copri</t>
  </si>
  <si>
    <t>Collinsella aerofaciens</t>
  </si>
  <si>
    <t>Streptococcus mitis</t>
  </si>
  <si>
    <t>Treponema</t>
  </si>
  <si>
    <t>Xanthomonas</t>
  </si>
  <si>
    <t>Bacteroides uniformis</t>
  </si>
  <si>
    <t>Verrucomicrobiaceae</t>
  </si>
  <si>
    <t>Tropheryma whipplei</t>
  </si>
  <si>
    <t>Parabacteroides</t>
  </si>
  <si>
    <t>Fusobacteriaceae</t>
  </si>
  <si>
    <t>Bacteroides</t>
  </si>
  <si>
    <t>Betaproteobacteria</t>
  </si>
  <si>
    <t>Bacteroides ovatus</t>
  </si>
  <si>
    <t>Megasphaera</t>
  </si>
  <si>
    <t>Papillibacter</t>
  </si>
  <si>
    <t>Eggerthella</t>
  </si>
  <si>
    <t>Porphyromonas uenonis</t>
  </si>
  <si>
    <t>Olsenella</t>
  </si>
  <si>
    <t>Lactobacillus iners</t>
  </si>
  <si>
    <t>Lactobacillus  crispatus</t>
  </si>
  <si>
    <t>Leptotrichia</t>
  </si>
  <si>
    <t>Leptotrichia amnionii</t>
  </si>
  <si>
    <t>Gardnerella vaginalis</t>
  </si>
  <si>
    <t>Gardnerella</t>
  </si>
  <si>
    <t>Mobiluncus</t>
  </si>
  <si>
    <t>Fusobacteria</t>
  </si>
  <si>
    <t>Tannerella</t>
  </si>
  <si>
    <t>Veillonellaceae</t>
  </si>
  <si>
    <t>Alcaligenaceae</t>
  </si>
  <si>
    <t>Alistipes</t>
  </si>
  <si>
    <t>Eubacterium</t>
  </si>
  <si>
    <t>Cellulomonadaceae</t>
  </si>
  <si>
    <t>Streptococcaceae</t>
  </si>
  <si>
    <t>Peptostreptococcaceae</t>
  </si>
  <si>
    <t>Polyangiaceae</t>
  </si>
  <si>
    <t>Paenibacillaceae</t>
  </si>
  <si>
    <t>Ruminococcus productus</t>
  </si>
  <si>
    <t>Nitrospiraceae</t>
  </si>
  <si>
    <t>Desulfovibrionaceae</t>
  </si>
  <si>
    <t>Clostridium cocleatum</t>
  </si>
  <si>
    <t>Coprococcus</t>
  </si>
  <si>
    <t>Pasteurellaceae</t>
  </si>
  <si>
    <t>Haemophilus parainfluenzae</t>
  </si>
  <si>
    <t>Ruminococcus</t>
  </si>
  <si>
    <t>Pseudomonas</t>
  </si>
  <si>
    <t>Clostridiaceae</t>
  </si>
  <si>
    <t>Bifidobacterium catenulatum</t>
  </si>
  <si>
    <t>Bacteroidaceae</t>
  </si>
  <si>
    <t>Oxalobacteraceae</t>
  </si>
  <si>
    <t>Sphingomonadaceae</t>
  </si>
  <si>
    <t>Syntrophobacteraceae</t>
  </si>
  <si>
    <t>Thiotrichaceae</t>
  </si>
  <si>
    <t>Comamonadaceae</t>
  </si>
  <si>
    <t>Ruminococcaceae</t>
  </si>
  <si>
    <t>Aeromonadaceae</t>
  </si>
  <si>
    <t>Bacteroidales</t>
  </si>
  <si>
    <t>Aerococcus</t>
  </si>
  <si>
    <t>Eubacteriaceae</t>
  </si>
  <si>
    <t>Citrobacter</t>
  </si>
  <si>
    <t>Streptobacillus</t>
  </si>
  <si>
    <t>Shuttleworthia</t>
  </si>
  <si>
    <t>Acidobacteriaceae</t>
  </si>
  <si>
    <t>Desulfobacteraceae</t>
  </si>
  <si>
    <t>Alteromonadaceae</t>
  </si>
  <si>
    <t>Bacteroides fragilis</t>
  </si>
  <si>
    <t>Bacilli</t>
  </si>
  <si>
    <t>Alistipes finegoldii</t>
  </si>
  <si>
    <t>Odoribacter splanchnicus</t>
  </si>
  <si>
    <t>Parabacteroides distasonis</t>
  </si>
  <si>
    <t>Parabacteroides merdae</t>
  </si>
  <si>
    <t>Roseburia hominis</t>
  </si>
  <si>
    <t>Roseburia intestinalis</t>
  </si>
  <si>
    <t>Eubacterium hallii</t>
  </si>
  <si>
    <t>Lachnospira</t>
  </si>
  <si>
    <t>Enterococcus faecalis</t>
  </si>
  <si>
    <t>Lactobacillus salivarius</t>
  </si>
  <si>
    <t>Holdemania</t>
  </si>
  <si>
    <t>Bacteroides finegoldii</t>
  </si>
  <si>
    <t>Bilophila</t>
  </si>
  <si>
    <t>Atopobium vaginae</t>
  </si>
  <si>
    <t>Streptococcus vestibularis</t>
  </si>
  <si>
    <t>Bilophila wadsworthia</t>
  </si>
  <si>
    <t>Promicromonosporaceae</t>
  </si>
  <si>
    <t>Dorea</t>
  </si>
  <si>
    <t>Candidate division TM7</t>
  </si>
  <si>
    <t>Atopobium</t>
  </si>
  <si>
    <t>Odoribacter</t>
  </si>
  <si>
    <t>Phascolarctobacterium</t>
  </si>
  <si>
    <t>Eubacterium eligens</t>
  </si>
  <si>
    <t>Roseburia</t>
  </si>
  <si>
    <t>Eubacterium rectale</t>
  </si>
  <si>
    <t>Faecalibacterium</t>
  </si>
  <si>
    <t>Bacillaceae</t>
  </si>
  <si>
    <t>Anaerovorax</t>
  </si>
  <si>
    <t>Bacteroides sp. D20</t>
  </si>
  <si>
    <t>Veillonella dispar</t>
  </si>
  <si>
    <t>Veillonella atypica</t>
  </si>
  <si>
    <t>Veillonella parvula</t>
  </si>
  <si>
    <t>Streptococcus salivarius</t>
  </si>
  <si>
    <t>Streptococcus parasanguinis</t>
  </si>
  <si>
    <t>Porphyromonas</t>
  </si>
  <si>
    <t>Rikenellaceae</t>
  </si>
  <si>
    <t>Alistipes putredinis</t>
  </si>
  <si>
    <t>Subdoligranulum</t>
  </si>
  <si>
    <t>Ruminococcus gnavus</t>
  </si>
  <si>
    <t>Streptococcus anginosus</t>
  </si>
  <si>
    <t>Bacteroides eggerthii</t>
  </si>
  <si>
    <t>Firmicutes str. C29</t>
  </si>
  <si>
    <t>Firmicutes bacterium EG14</t>
  </si>
  <si>
    <t>Mogibacterium</t>
  </si>
  <si>
    <t>Mannheimia</t>
  </si>
  <si>
    <t>Peptostreptococcus</t>
  </si>
  <si>
    <t>Mastodon intestinal bacterium AN-22-6</t>
  </si>
  <si>
    <t>Oscillibacter</t>
  </si>
  <si>
    <t>Oscillospiraceae bacterium NML 061048</t>
  </si>
  <si>
    <t>Oscillospira</t>
  </si>
  <si>
    <t>Lachnobacterium</t>
  </si>
  <si>
    <t>Pantoea</t>
  </si>
  <si>
    <t>Pectobacterium</t>
  </si>
  <si>
    <t>Pasteurella</t>
  </si>
  <si>
    <t>Erwinia</t>
  </si>
  <si>
    <t>Erysipelothrix</t>
  </si>
  <si>
    <t>Lachnospiraceae bacterium A2</t>
  </si>
  <si>
    <t>Dialister</t>
  </si>
  <si>
    <t>Gram-negative bacterium cL10-2b-4</t>
  </si>
  <si>
    <t>Dysgonomonas</t>
  </si>
  <si>
    <t>Hafnia</t>
  </si>
  <si>
    <t>Edwardsiella</t>
  </si>
  <si>
    <t>Lactococcus</t>
  </si>
  <si>
    <t>Enterobacter</t>
  </si>
  <si>
    <t>Oligella</t>
  </si>
  <si>
    <t>Rumen bacterium 8/94-32</t>
  </si>
  <si>
    <t>Rumen bacterium R-7</t>
  </si>
  <si>
    <t>Rumen bacterium R-9</t>
  </si>
  <si>
    <t>Escherichia</t>
  </si>
  <si>
    <t>Solobacterium</t>
  </si>
  <si>
    <t>Salmonella</t>
  </si>
  <si>
    <t>Butyrate-producing bacterium M21/2</t>
  </si>
  <si>
    <t>Segmented filamentous bacterium</t>
  </si>
  <si>
    <t>Butyrate-producing bacterium M104/1</t>
  </si>
  <si>
    <t>Eubacterium tortuosum</t>
  </si>
  <si>
    <t>Human intestinal firmicute CO4</t>
  </si>
  <si>
    <t>Human intestinal firmicute CO13</t>
  </si>
  <si>
    <t>Human intestinal firmicute CO2</t>
  </si>
  <si>
    <t>Human intestinal firmicute CO35</t>
  </si>
  <si>
    <t>Human intestinal firmicute CB47</t>
  </si>
  <si>
    <t>Human intestinal firmicute CS26</t>
  </si>
  <si>
    <t>Serratia</t>
  </si>
  <si>
    <t>Human intestinal firmicute CO19</t>
  </si>
  <si>
    <t>Shigella</t>
  </si>
  <si>
    <t>Butyrate-producing bacterium PH07AY5</t>
  </si>
  <si>
    <t>Butyrate-producing bacterium PH07AY3</t>
  </si>
  <si>
    <t>Desulfotomaculum</t>
  </si>
  <si>
    <t>Bacterium ic1311</t>
  </si>
  <si>
    <t>Bacterium G100VIII</t>
  </si>
  <si>
    <t>Clostridium innocuum</t>
  </si>
  <si>
    <t>Clostridiales bacterium AHT16</t>
  </si>
  <si>
    <t>Clostridiales bacterium L2-14</t>
  </si>
  <si>
    <t>Cronobacter</t>
  </si>
  <si>
    <t>Dehalobacterium</t>
  </si>
  <si>
    <t>Coprobacillus</t>
  </si>
  <si>
    <t>Clostridium ramosum</t>
  </si>
  <si>
    <t>Akkermansia</t>
  </si>
  <si>
    <t>Clostridia bacterium TSW07CA7</t>
  </si>
  <si>
    <t>Bacteroides thetaiotaomicron</t>
  </si>
  <si>
    <t>Bacteroides sp. CJ78</t>
  </si>
  <si>
    <t>Bacterium Ba2</t>
  </si>
  <si>
    <t>Swine fecal bacterium FPC67</t>
  </si>
  <si>
    <t>Acetonema</t>
  </si>
  <si>
    <t>Bovine rumen bacterium JPR13</t>
  </si>
  <si>
    <t>Brenneria</t>
  </si>
  <si>
    <t>Pusillimonas</t>
  </si>
  <si>
    <t>Clostridiales bacterium 80/3</t>
  </si>
  <si>
    <t>Clostridium spiroforme</t>
  </si>
  <si>
    <t>Bacterium ic1214</t>
  </si>
  <si>
    <t>Clostridiaceae bacterium SK061</t>
  </si>
  <si>
    <t>Clostridiaceae bacterium LEMV63</t>
  </si>
  <si>
    <t>Yersinia</t>
  </si>
  <si>
    <t>Swine fecal bacterium FPC70</t>
  </si>
  <si>
    <t>Swine fecal bacterium SD-Pec1</t>
  </si>
  <si>
    <t>Swine manure pit bacterium PPC108</t>
  </si>
  <si>
    <t>Tenericutes</t>
  </si>
  <si>
    <t>Terrahaemophilus</t>
  </si>
  <si>
    <t>Swine fecal bacterium RF3E-Xyl1</t>
  </si>
  <si>
    <t>Verrucomicrobia bacterium MS-F-88</t>
  </si>
  <si>
    <t>Verrucomicrobia</t>
  </si>
  <si>
    <t>Unidentified bacterium ZF3</t>
  </si>
  <si>
    <t>Vibrio</t>
  </si>
  <si>
    <t>Clostridiaceae bacterium bSSV31</t>
  </si>
  <si>
    <t>Butyrate-producing bacterium ART55/1</t>
  </si>
  <si>
    <t>Butyrate-producing bacterium M50/1</t>
  </si>
  <si>
    <t>Butyrate-producing bacterium L1-810</t>
  </si>
  <si>
    <t>Bacterium C15</t>
  </si>
  <si>
    <t>Burkholderiales bacterium Smarlab 3302047</t>
  </si>
  <si>
    <t>Aggregatibacter</t>
  </si>
  <si>
    <t>Butyrate-producing bacterium SR1/1</t>
  </si>
  <si>
    <t>Sutterella</t>
  </si>
  <si>
    <t>Butyrate-producing bacterium L1-952</t>
  </si>
  <si>
    <t>Bacterium ic1379</t>
  </si>
  <si>
    <t>Bacterium ic1391</t>
  </si>
  <si>
    <t>Anaerotruncus</t>
  </si>
  <si>
    <t>Butyrate-producing bacterium SM4/1</t>
  </si>
  <si>
    <t>Butyrate-producing bacterium SL6/1/1</t>
  </si>
  <si>
    <t>Butyrate-producing bacterium PH07BY04</t>
  </si>
  <si>
    <t>Clostridiaceae bacterium SH032</t>
  </si>
  <si>
    <t>Clostridiales bacterium A2-162</t>
  </si>
  <si>
    <t>Bacterium mpn-isolate group 22</t>
  </si>
  <si>
    <t>Bacterium mpn-isolate group 19</t>
  </si>
  <si>
    <t>Bacterium MB7-1</t>
  </si>
  <si>
    <t>Bacterium ic1296</t>
  </si>
  <si>
    <t>Butyrate-producing bacterium P607</t>
  </si>
  <si>
    <t>Butyrate-producing bacterium PH05YB02</t>
  </si>
  <si>
    <t>Butyrate-producing bacterium Ph07AY02</t>
  </si>
  <si>
    <t>Collinsella</t>
  </si>
  <si>
    <t>Anaerostipes</t>
  </si>
  <si>
    <t>Bacterium B4C2-5</t>
  </si>
  <si>
    <t>Butyrate-producing bacterium L2-50</t>
  </si>
  <si>
    <t>Bacterium 'New Zealand B'</t>
  </si>
  <si>
    <t>Actinobacillus</t>
  </si>
  <si>
    <t>Bacterium mpn-isolate group 5</t>
  </si>
  <si>
    <t>Bacillus</t>
  </si>
  <si>
    <t>Bacterium 08.96.4</t>
  </si>
  <si>
    <t>Butyrate-producing bacterium SR1/5</t>
  </si>
  <si>
    <t>Butyrate-producing bacterium SS2/1</t>
  </si>
  <si>
    <t>Butyrate-producing bacterium SSC/2</t>
  </si>
  <si>
    <t>Butyrate-producing bacterium T2-132</t>
  </si>
  <si>
    <t>Bacteroidaceae bacterium Smarlab 3301643</t>
  </si>
  <si>
    <t>Bacterium str. 31285</t>
  </si>
  <si>
    <t>Bacterium ic1292</t>
  </si>
  <si>
    <t>Bacterium mpn-isolate group 24</t>
  </si>
  <si>
    <t>Anaerofilum</t>
  </si>
  <si>
    <t>Bacterium ic1258</t>
  </si>
  <si>
    <t>Bacterium mpn-isolate group 27</t>
  </si>
  <si>
    <t>Bacterium ASF500</t>
  </si>
  <si>
    <t>Bacterium YE62</t>
  </si>
  <si>
    <t>Bacterium YE64</t>
  </si>
  <si>
    <t>18513271</t>
  </si>
  <si>
    <t>IBD 人群中 C. difficile 感染/定植显著相关，尤其在 UC 中常见。</t>
  </si>
  <si>
    <t>https://pubmed.ncbi.nlm.nih.gov/18513271/</t>
  </si>
  <si>
    <t>22092917; GATMDA lead PMID 19235886</t>
  </si>
  <si>
    <t>人体 IBD/UC 研究报告 C. coccoides group 明显减少。</t>
  </si>
  <si>
    <t>https://pubmed.ncbi.nlm.nih.gov/22092917/</t>
  </si>
  <si>
    <t>Independent PubMed verification + GATMDA lead</t>
  </si>
  <si>
    <t>33738265</t>
  </si>
  <si>
    <t>IBD 人体肠道宏基因组研究报道 Bacteroidetes 组成显著改变。</t>
  </si>
  <si>
    <t>https://pubmed.ncbi.nlm.nih.gov/33738265/</t>
  </si>
  <si>
    <t>IBD 人体肠道宏基因组研究支持 Actinobacteria 组成变化。</t>
  </si>
  <si>
    <t>31142855</t>
  </si>
  <si>
    <t>纵向 multi-omics 人体 IBD 研究显示疾病活动伴随 clostridia 的系统性分子/群落扰动，直接支持 Clostridia–IBD 关联。</t>
  </si>
  <si>
    <t>https://pubmed.ncbi.nlm.nih.gov/31142855/</t>
  </si>
  <si>
    <t>33738265; GATMDA lead PMID 25307765</t>
  </si>
  <si>
    <t>IBD 人体研究中 Firmicutes 显著改变；GATMDA Table 5 也给出 PMID 25307765。</t>
  </si>
  <si>
    <t>IBD 人体肠道研究支持 Proteobacteria 增加/失衡。</t>
  </si>
  <si>
    <t>34620880; GATMDA lead PMID 25307765</t>
  </si>
  <si>
    <t>人体 IBD 数据显示 Prevotella 组成与 IBD 状态相关。</t>
  </si>
  <si>
    <t>https://pubmed.ncbi.nlm.nih.gov/34620880/</t>
  </si>
  <si>
    <t>37682136; GATMDA lead PMID 22221289</t>
  </si>
  <si>
    <t>人体研究支持 H. pylori 与 IBD 的负向/保护性关联；负向也属于 association。</t>
  </si>
  <si>
    <t>https://pubmed.ncbi.nlm.nih.gov/37682136/</t>
  </si>
  <si>
    <t>22092917; GATMDA lead PMID 28099495</t>
  </si>
  <si>
    <t>人体 IBD/UC 研究报告 C. leptum group 减少。</t>
  </si>
  <si>
    <t>11424320</t>
  </si>
  <si>
    <t>IBD 患者肠黏膜中检测到 S. aureus，并与疾病状态相关。</t>
  </si>
  <si>
    <t>https://pubmed.ncbi.nlm.nih.gov/11424320/</t>
  </si>
  <si>
    <t>39187879</t>
  </si>
  <si>
    <t>UC 人体纵向研究中 Burkholderia-Caballeronia-Paraburkholderia 与疾病/缓解状态相关。</t>
  </si>
  <si>
    <t>https://pubmed.ncbi.nlm.nih.gov/39187879/</t>
  </si>
  <si>
    <t>39187879; GATMDA lead PMID 27239107</t>
  </si>
  <si>
    <t>UC 人体纵向研究中 Staphylococcus 与治疗缓解/疾病状态相关。</t>
  </si>
  <si>
    <t>38779566; GATMDA lead PMID 23679203</t>
  </si>
  <si>
    <t>UC 与健康对照比较中 Streptococcus 显著改变。</t>
  </si>
  <si>
    <t>https://pubmed.ncbi.nlm.nih.gov/38779566/</t>
  </si>
  <si>
    <t>19186006</t>
  </si>
  <si>
    <t>Crohn 病人体样本病原体筛查中检出 S. maltophilia；更接近病原体检测证据而非稳定微生物组关联。</t>
  </si>
  <si>
    <t>https://pubmed.ncbi.nlm.nih.gov/19186006/</t>
  </si>
  <si>
    <t>Independent human detection</t>
  </si>
  <si>
    <t>22092917</t>
  </si>
  <si>
    <t>人体 IBD/UC 研究直接报告 Clostridium coccoides 与 C. leptum 等 Clostridium 亚群显著改变；对泛 Clostridium 属预测属于下位分类群支持。</t>
  </si>
  <si>
    <t>Independent human study; subgroup-to-genus support</t>
  </si>
  <si>
    <t>38779566; GATMDA lead PMID 26340825</t>
  </si>
  <si>
    <t>UC 人体研究中 Lactobacillus 丰度与健康对照存在显著差异。</t>
  </si>
  <si>
    <t>24013298</t>
  </si>
  <si>
    <t>IBD 唾液微生物组研究中 Haemophilus 是主要差异分类群之一。</t>
  </si>
  <si>
    <t>https://pubmed.ncbi.nlm.nih.gov/24013298/</t>
  </si>
  <si>
    <t>38779566; GATMDA lead PMID 24629344</t>
  </si>
  <si>
    <t>UC 人体研究支持 Enterobacteriaceae 增加/改变。</t>
  </si>
  <si>
    <t>24013298; GATMDA lead PMID 28842640</t>
  </si>
  <si>
    <t>IBD 唾液/肠道微生物组研究支持 Veillonella 与 IBD 相关。</t>
  </si>
  <si>
    <t>24629344</t>
  </si>
  <si>
    <t>Treatment-naive new-onset Crohn's disease 人体研究中，Clostridiales 丰度与疾病状态强相关，构成直接人体证据。</t>
  </si>
  <si>
    <t>https://pubmed.ncbi.nlm.nih.gov/24629344/</t>
  </si>
  <si>
    <t>UC 人体研究中 Enterococcus 显著改变。</t>
  </si>
  <si>
    <t>26628508</t>
  </si>
  <si>
    <t>Crohn 病术后复发/缓解研究中 Lachnospiraceae 与结局相关。</t>
  </si>
  <si>
    <t>https://pubmed.ncbi.nlm.nih.gov/26628508/</t>
  </si>
  <si>
    <t>15300573; GATMDA lead PMID 29573336</t>
  </si>
  <si>
    <t>AIEC（E. coli）在人 Crohn 病肠黏膜中的高检出率提供直接关联证据。</t>
  </si>
  <si>
    <t>https://pubmed.ncbi.nlm.nih.gov/15300573/</t>
  </si>
  <si>
    <t>25939040</t>
  </si>
  <si>
    <t>IBD 结肠组织 metagenomic 人体研究观察到 Comamonadaceae 在 IBD 样本中增加，直接支持该家族与 IBD 的关联。</t>
  </si>
  <si>
    <t>https://pubmed.ncbi.nlm.nih.gov/25939040/</t>
  </si>
  <si>
    <t>26351391; 38105519</t>
  </si>
  <si>
    <t>儿童 IBD 病例-对照研究报告 Coriobacteriaceae 在 IBD 中降低；后续 Crohn's longitudinal cohort 也发现 Coriobacteriaceae 与 CD/疾病活动存在显著关联。</t>
  </si>
  <si>
    <t>https://pubmed.ncbi.nlm.nih.gov/26351391/</t>
  </si>
  <si>
    <t>35087228</t>
  </si>
  <si>
    <t>UC 人体 multi-omics 研究将 Bacteroides vulgatus 及其蛋白酶与疾病严重度直接联系，构成精确物种级人体证据。</t>
  </si>
  <si>
    <t>https://pubmed.ncbi.nlm.nih.gov/35087228/</t>
  </si>
  <si>
    <t>31075656</t>
  </si>
  <si>
    <t>Crohn's disease 人体微生物组研究中 Corynebacterium 在病例中呈显著差异，直接支持 Corynebacterium–IBD 关联。</t>
  </si>
  <si>
    <t>https://pubmed.ncbi.nlm.nih.gov/31075656/</t>
  </si>
  <si>
    <t>25559083</t>
  </si>
  <si>
    <t>人体 colitis 组织研究发现 Acinetobacter 等菌在 actively inflamed colitis tissue 中富集，属于直接人体 IBD/colitis 关联证据。</t>
  </si>
  <si>
    <t>https://pubmed.ncbi.nlm.nih.gov/25559083/</t>
  </si>
  <si>
    <t>当前未独立核实 Coxiellaceae 与 IBD 的直接人体关联。</t>
  </si>
  <si>
    <t>30545401</t>
  </si>
  <si>
    <t>人体病例-对照肠道微生物研究比较 Crohn's disease、UC 与健康对照，Actinomyces 在疾病队列中显著改变，直接支持该关联。</t>
  </si>
  <si>
    <t>https://pubmed.ncbi.nlm.nih.gov/30545401/</t>
  </si>
  <si>
    <t>39273567; GATMDA lead PMID 25307765</t>
  </si>
  <si>
    <t>人体 IBD 微生物组研究支持 Fusobacterium 与疾病相关；GATMDA Table 5 也列出证据。</t>
  </si>
  <si>
    <t>https://pubmed.ncbi.nlm.nih.gov/39273567/</t>
  </si>
  <si>
    <t>21209126</t>
  </si>
  <si>
    <t>Crohn's disease、未患病一级亲属及健康对照的人体研究检测到 Collinsella aerofaciens 差异，但主要信号出现在未患病亲属而非直接 CD 病例效应，因此保守记为间接支持。</t>
  </si>
  <si>
    <t>https://pubmed.ncbi.nlm.nih.gov/21209126/</t>
  </si>
  <si>
    <t>Independent human study; indirect disease-context evidence</t>
  </si>
  <si>
    <t>18936492</t>
  </si>
  <si>
    <t>经典 Crohn's disease 人体研究显示 Faecalibacterium prausnitzii 在患者中减少，并与术后复发相关，构成直接人体证据。</t>
  </si>
  <si>
    <t>https://pubmed.ncbi.nlm.nih.gov/18936492/</t>
  </si>
  <si>
    <t>38779566; GATMDA lead PMID 24478468</t>
  </si>
  <si>
    <t>UC 与健康对照研究中 Bifidobacterium 显著改变。</t>
  </si>
  <si>
    <t>IBD 人体研究支持 Proteobacteria/Gammaproteobacteria 相关失衡；对该精确 class 的效应保守记为 broader。</t>
  </si>
  <si>
    <t>Independent broader taxon</t>
  </si>
  <si>
    <t>39806416</t>
  </si>
  <si>
    <t>人体 IBD 研究支持 Prevotellaceae 相关菌群/代谢轴与 IBD 相关，证据偏机制/关联链条。</t>
  </si>
  <si>
    <t>https://pubmed.ncbi.nlm.nih.gov/39806416/</t>
  </si>
  <si>
    <t>Independent human broader evidence</t>
  </si>
  <si>
    <t>40854688</t>
  </si>
  <si>
    <t>UC 人体黏膜微生物组研究中，吸烟与 Streptococcus mitis 等口源菌在结肠黏膜的异位增加相关，属于 IBD 疾病背景下的精确物种人体证据。</t>
  </si>
  <si>
    <t>https://pubmed.ncbi.nlm.nih.gov/40854688/</t>
  </si>
  <si>
    <t>GATMDA Table 5 对 Shigella dysenteriae–IBD 标为 unconfirmed。</t>
  </si>
  <si>
    <t>GATMDA Table 5: unconfirmed</t>
  </si>
  <si>
    <t>36436756</t>
  </si>
  <si>
    <t>人体 UC 样本中 Klebsiella pneumoniae 与 Mayo disease activity index 呈正相关，并从 colitis 患者结肠组织分离菌株；后续机制实验进一步验证其致炎作用。</t>
  </si>
  <si>
    <t>https://pubmed.ncbi.nlm.nih.gov/36436756/</t>
  </si>
  <si>
    <t>Independent human + mechanistic verification</t>
  </si>
  <si>
    <t>22837318</t>
  </si>
  <si>
    <t>新诊断儿童 Crohn's disease 人体病例-对照研究检测到 Enterobacter hormaechei，病例检出率高于对照但未达到传统显著性（P≈0.059），故记为人体间接/趋势性支持。</t>
  </si>
  <si>
    <t>https://pubmed.ncbi.nlm.nih.gov/22837318/</t>
  </si>
  <si>
    <t>Independent human study; non-significant trend</t>
  </si>
  <si>
    <t>4061480</t>
  </si>
  <si>
    <t>反查 GATMDA 所列 PMID 4061480：该文是 Crohn's disease 患者肝脓肿/感染并发症病例，Enterobacter aerogenes 为感染分离菌，并非一般性的 IBD microbiome association，故不计 confirmed。</t>
  </si>
  <si>
    <t>https://pubmed.ncbi.nlm.nih.gov/4061480/</t>
  </si>
  <si>
    <t>Reverse-checked GATMDA lead; complication case report</t>
  </si>
  <si>
    <t>Klebsiella pneumoniae 在 UC 人体样本中与疾病活动度相关；该精确物种证据可支持上一级 Klebsiella 属预测，但按分类学层级保守记为间接支持。</t>
  </si>
  <si>
    <t>Independent species-to-genus support</t>
  </si>
  <si>
    <t>39604394</t>
  </si>
  <si>
    <t>人类 multi-biome IBD 分析发现 Enterococcus faecium 在 Crohn's disease 与 UC 中均富集，构成精确物种级直接人体证据。</t>
  </si>
  <si>
    <t>https://pubmed.ncbi.nlm.nih.gov/39604394/</t>
  </si>
  <si>
    <t>Treatment-naive new-onset Crohn's disease 人体研究中 Erysipelotrichales 与疾病状态显著相关，构成直接人体证据。</t>
  </si>
  <si>
    <t>35860271</t>
  </si>
  <si>
    <t>人群遗传因果推断研究支持 Oxalobacter 属与 IBD/CD 相关；对 Oxalobacteraceae 家族属于下位/上位分类群间接证据。</t>
  </si>
  <si>
    <t>https://pubmed.ncbi.nlm.nih.gov/35860271/</t>
  </si>
  <si>
    <t>Independent human MR; taxonomic mismatch</t>
  </si>
  <si>
    <t>27418066</t>
  </si>
  <si>
    <t>Crohn's disease 人体肠黏膜研究发现 advancing disease margin 的 submucosa 中 Sphingomonadaceae 明显增加，直接支持该家族与 CD 的关联。</t>
  </si>
  <si>
    <t>https://pubmed.ncbi.nlm.nih.gov/27418066/</t>
  </si>
  <si>
    <t>32244928; DOI 10.3390/microorganisms8030438</t>
  </si>
  <si>
    <t>人体 Crohn's disease、ulcerative colitis 与健康对照的黏膜活检微生物组研究中，Lysobacter 被识别为 IBD 相关差异属/疾病特异性属之一，属于直接人体证据。</t>
  </si>
  <si>
    <t>https://pubmed.ncbi.nlm.nih.gov/32244928/</t>
  </si>
  <si>
    <t>当前未核实 Rickettsiales 与 IBD 的直接人体关联。</t>
  </si>
  <si>
    <t>38105519</t>
  </si>
  <si>
    <t>Crohn's disease longitudinal cohort 与健康对照的 quantile-regression 分析显示 Erysipelotrichaceae 等家族与 CD/疾病过程存在显著关联，属于精确家族级人体证据。</t>
  </si>
  <si>
    <t>https://pubmed.ncbi.nlm.nih.gov/38105519/</t>
  </si>
  <si>
    <t>案例研究：文献验证进度汇总</t>
  </si>
  <si>
    <t>Independent Confirmed</t>
  </si>
  <si>
    <t>Confirmed + Broader Support</t>
  </si>
  <si>
    <t>GATMDA PMID Leads (pending reverse-check)</t>
  </si>
  <si>
    <t>Pending/Unverified</t>
  </si>
  <si>
    <t>Support Rate (broad)</t>
  </si>
  <si>
    <t>GATMDA paper reported</t>
  </si>
  <si>
    <t>判定规则 / 重要说明</t>
  </si>
  <si>
    <t>至少一篇可核实的人体原始研究直接支持该精确/合理匹配分类群与疾病状态、风险、严重度、丰度或定植之间的关联。</t>
  </si>
  <si>
    <t>有人体证据，但属于上/下位分类群、疾病表型、临床分离株、MR 或其他较间接证据；不计入最严格 confirmed。</t>
  </si>
  <si>
    <t>GATMDA-reported lead; needs reverse-check</t>
  </si>
  <si>
    <t>GATMDA Table 4/5 给出了 PMID，但本项目尚未逐 PMID 独立反查；不能直接当作最终 confirmed。</t>
  </si>
  <si>
    <t>当前尚未核实到足够直接的人体证据；这不是宣称不存在，只表示本轮检索未完成/未找到。</t>
  </si>
  <si>
    <t>注意：GATMDA 报告的 Asthma 10/20/50 confirmed 数为 10/18/38，IBD 为 10/20/44；这些数字仅作参考。我们采用更严格的“独立反查 PMID”流程，因此在 lead-only 项完成反查前，不应直接比较最终确认率。</t>
  </si>
  <si>
    <t>本轮复核新增说明</t>
  </si>
  <si>
    <t>本表采用“逐 PMID 反查”而非直接复用 GATMDA Table 4/5 的 Evidence。若原 PMID 与预测关系不直接匹配，则降级为 Pending/Indirect，并在 Citation_Audit 中记录。</t>
  </si>
  <si>
    <t>因此最终确认率应以本工作簿中的 Independent Confirmed / Confirmed + Broader Support 为准，而不是机械复制 GATMDA 的 38/50、44/50。</t>
  </si>
  <si>
    <t>最终复核状态</t>
  </si>
  <si>
    <t>截至本轮，Top50 中所有原先标记为 GATMDA PMID lead-only 的条目均已完成反查；剩余 Pending 项均为本轮未核实到足够直接人体证据的真实未确认项。</t>
  </si>
  <si>
    <t>因此可同时报告“strict direct-human confirmation”与“direct + broader human support”两套数字，并明确二者判定标准。</t>
  </si>
  <si>
    <t>Predicted microbe</t>
  </si>
  <si>
    <t>GATMDA PMID</t>
  </si>
  <si>
    <t>Reverse-check conclusion</t>
  </si>
  <si>
    <t>Decision in our study</t>
  </si>
  <si>
    <t>Source URL</t>
  </si>
  <si>
    <t>Not a direct human E. coli–asthma association; focuses on microbial extracellular vesicles/chronic lung inflammation and experimental evidence.</t>
  </si>
  <si>
    <t>Do not count as confirmed.</t>
  </si>
  <si>
    <t>Citation mismatch: paper is about Fagonia olivieri phytochemical/antimicrobial activity, not asthma association.</t>
  </si>
  <si>
    <t>9930068</t>
  </si>
  <si>
    <t>Paper reports absence/lack of support for these bacterial antigens in IBD tissue rather than a positive association.</t>
  </si>
  <si>
    <t>Replace with stronger human evidence PMID 36436756.</t>
  </si>
  <si>
    <t>https://pubmed.ncbi.nlm.nih.gov/9930068/</t>
  </si>
  <si>
    <t>Crohn's disease liver-abscess/infection complication case report; not a general IBD microbiome association.</t>
  </si>
  <si>
    <t>Rank</t>
  </si>
  <si>
    <t>Microbe</t>
  </si>
  <si>
    <t>Current status</t>
  </si>
  <si>
    <t>Search conclusion</t>
  </si>
  <si>
    <t>Why not counted as confirmed</t>
  </si>
  <si>
    <t>Representative search/source</t>
  </si>
  <si>
    <t>检索到的是感染性痢疾/肠炎文献，未核实到 asthma 患者中的直接微生物关联研究。</t>
  </si>
  <si>
    <t>感染性疾病证据不能替代 asthma association。</t>
  </si>
  <si>
    <t>PubMed exact-species asthma searches; no direct human asthma paper verified</t>
  </si>
  <si>
    <t>Enterobacter aerogenes (Klebsiella aerogenes)</t>
  </si>
  <si>
    <t>GATMDA 的 PMID 23842440 反查为植物提取物抗菌研究；按新名称 K. aerogenes 检索也未找到直接 asthma 人体关联。</t>
  </si>
  <si>
    <t>原 PMID 错配；其余结果不是 asthma association。</t>
  </si>
  <si>
    <t>主要检索到计算预测论文或其他呼吸疾病研究，未核实到直接 asthma 人体病例-对照/队列证据。</t>
  </si>
  <si>
    <t>计算预测不能作为外部生物医学确认。</t>
  </si>
  <si>
    <t>https://pubmed.ncbi.nlm.nih.gov/37789848/</t>
  </si>
  <si>
    <t>检索到环境暴露、CF/其他肺病以及综述性提及；未核实到直接的人体 asthma Lysobacter association。</t>
  </si>
  <si>
    <t>环境/其他疾病/综述不能作为严格确认。</t>
  </si>
  <si>
    <t>Human-asthma exact-taxon searches; no direct paper verified</t>
  </si>
  <si>
    <t>可核实文献主要为机会性感染、atopic dermatitis/环境研究，未找到直接 asthma 人体关联。</t>
  </si>
  <si>
    <t>相邻过敏表型不等同于 asthma。</t>
  </si>
  <si>
    <t>Human-asthma exact-species searches; no direct paper verified</t>
  </si>
  <si>
    <t>未核实到 Coxiellaceae 与 Crohn's disease/UC 的直接人体关联研究。</t>
  </si>
  <si>
    <t>检索结果多为非 IBD 人群或动物/环境研究。</t>
  </si>
  <si>
    <t>Human IBD exact-family searches; no direct paper verified</t>
  </si>
  <si>
    <t>存在大量 Shigella dysenteriae 引起急性感染性 colitis 的人体研究，但这不是慢性 Crohn's disease/UC 微生物关联。</t>
  </si>
  <si>
    <t>infectious colitis 可模拟 IBD，但不能算 IBD association。</t>
  </si>
  <si>
    <t>https://pubmed.ncbi.nlm.nih.gov/3535768/</t>
  </si>
  <si>
    <t>GATMDA PMID 4061480 是 Crohn 患者肝脓肿/感染并发症病例；2025 K. aerogenes enteritis 研究主要是动物机制，不满足直接人体 IBD 标准。</t>
  </si>
  <si>
    <t>并发感染病例/动物机制不足以确认一般 IBD association。</t>
  </si>
  <si>
    <t>检索到动物 colitis/干预研究中的 Rickettsiales 变化，未核实到直接 Crohn's disease/UC 人体证据。</t>
  </si>
  <si>
    <t>动物模型不计入本项目严格的人体确认。</t>
  </si>
  <si>
    <t>https://pubmed.ncbi.nlm.nih.gov/32498703/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</si>
</sst>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8">
    <font>
      <sz val="11"/>
      <color theme="1"/>
      <name val="Calibri"/>
      <charset val="134"/>
    </font>
    <font>
      <b/>
      <sz val="11"/>
      <color rgb="FFFFFFFF"/>
      <name val="Calibri"/>
      <charset val="134"/>
    </font>
    <font>
      <b/>
      <sz val="14"/>
      <color rgb="FFFFFFFF"/>
      <name val="Calibri"/>
      <charset val="134"/>
    </font>
    <font>
      <b/>
      <sz val="11"/>
      <color rgb="FF1F1F1F"/>
      <name val="Calibri"/>
      <charset val="134"/>
    </font>
    <font>
      <b/>
      <sz val="16"/>
      <color rgb="FFFFFFFF"/>
      <name val="Calibri"/>
      <charset val="134"/>
    </font>
    <font>
      <sz val="10"/>
      <color rgb="FF1F1F1F"/>
      <name val="Calibri"/>
      <charset val="134"/>
    </font>
    <font>
      <b/>
      <sz val="11"/>
      <color theme="1"/>
      <name val="Calibri"/>
      <charset val="134"/>
    </font>
    <font>
      <i/>
      <sz val="11"/>
      <color rgb="FF7F6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50">
    <fill>
      <patternFill patternType="none"/>
    </fill>
    <fill>
      <patternFill patternType="gray125"/>
    </fill>
    <fill>
      <patternFill patternType="solid">
        <fgColor rgb="FF7F600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A64D79"/>
        <bgColor indexed="64"/>
      </patternFill>
    </fill>
    <fill>
      <patternFill patternType="solid">
        <fgColor rgb="FFEADCF8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20386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19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0" borderId="4" applyNumberFormat="0" applyAlignment="0" applyProtection="0">
      <alignment vertical="center"/>
    </xf>
    <xf numFmtId="0" fontId="18" fillId="21" borderId="5" applyNumberFormat="0" applyAlignment="0" applyProtection="0">
      <alignment vertical="center"/>
    </xf>
    <xf numFmtId="0" fontId="19" fillId="21" borderId="4" applyNumberFormat="0" applyAlignment="0" applyProtection="0">
      <alignment vertical="center"/>
    </xf>
    <xf numFmtId="0" fontId="20" fillId="22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0" fillId="0" borderId="0"/>
  </cellStyleXfs>
  <cellXfs count="33">
    <xf numFmtId="0" fontId="0" fillId="0" borderId="0" xfId="49"/>
    <xf numFmtId="0" fontId="1" fillId="2" borderId="0" xfId="49" applyNumberFormat="1" applyFont="1" applyFill="1" applyBorder="1" applyAlignment="1">
      <alignment horizontal="center" vertical="top" wrapText="1"/>
    </xf>
    <xf numFmtId="0" fontId="0" fillId="0" borderId="0" xfId="49" applyNumberFormat="1" applyFont="1" applyFill="1" applyBorder="1" applyAlignment="1">
      <alignment vertical="top" wrapText="1"/>
    </xf>
    <xf numFmtId="0" fontId="1" fillId="3" borderId="0" xfId="49" applyNumberFormat="1" applyFont="1" applyFill="1" applyBorder="1" applyAlignment="1">
      <alignment horizontal="center" vertical="top" wrapText="1"/>
    </xf>
    <xf numFmtId="0" fontId="2" fillId="3" borderId="0" xfId="49" applyNumberFormat="1" applyFont="1" applyFill="1" applyBorder="1" applyAlignment="1">
      <alignment horizontal="center" vertical="center"/>
    </xf>
    <xf numFmtId="0" fontId="3" fillId="4" borderId="0" xfId="49" applyNumberFormat="1" applyFont="1" applyFill="1" applyBorder="1" applyAlignment="1">
      <alignment horizontal="center" vertical="center" wrapText="1"/>
    </xf>
    <xf numFmtId="176" fontId="0" fillId="0" borderId="0" xfId="49" applyNumberFormat="1" applyFont="1" applyFill="1" applyBorder="1"/>
    <xf numFmtId="0" fontId="1" fillId="5" borderId="0" xfId="49" applyNumberFormat="1" applyFont="1" applyFill="1" applyBorder="1" applyAlignment="1">
      <alignment horizontal="left"/>
    </xf>
    <xf numFmtId="0" fontId="0" fillId="0" borderId="0" xfId="49" applyNumberFormat="1" applyFont="1" applyFill="1" applyBorder="1" applyAlignment="1">
      <alignment wrapText="1"/>
    </xf>
    <xf numFmtId="0" fontId="3" fillId="4" borderId="0" xfId="49" applyNumberFormat="1" applyFont="1" applyFill="1" applyBorder="1" applyAlignment="1">
      <alignment wrapText="1"/>
    </xf>
    <xf numFmtId="0" fontId="3" fillId="6" borderId="0" xfId="49" applyNumberFormat="1" applyFont="1" applyFill="1" applyBorder="1" applyAlignment="1">
      <alignment wrapText="1"/>
    </xf>
    <xf numFmtId="0" fontId="1" fillId="3" borderId="0" xfId="49" applyNumberFormat="1" applyFont="1" applyFill="1" applyBorder="1" applyAlignment="1">
      <alignment horizontal="center" vertical="center" wrapText="1"/>
    </xf>
    <xf numFmtId="0" fontId="4" fillId="3" borderId="0" xfId="49" applyNumberFormat="1" applyFont="1" applyFill="1" applyBorder="1" applyAlignment="1">
      <alignment horizontal="center" vertical="center"/>
    </xf>
    <xf numFmtId="0" fontId="5" fillId="4" borderId="0" xfId="49" applyNumberFormat="1" applyFont="1" applyFill="1" applyBorder="1" applyAlignment="1">
      <alignment vertical="center" wrapText="1"/>
    </xf>
    <xf numFmtId="0" fontId="1" fillId="7" borderId="0" xfId="49" applyNumberFormat="1" applyFont="1" applyFill="1" applyBorder="1" applyAlignment="1">
      <alignment horizontal="center"/>
    </xf>
    <xf numFmtId="0" fontId="6" fillId="4" borderId="0" xfId="49" applyNumberFormat="1" applyFont="1" applyFill="1" applyBorder="1" applyAlignment="1">
      <alignment horizontal="center" vertical="center" wrapText="1"/>
    </xf>
    <xf numFmtId="0" fontId="6" fillId="6" borderId="0" xfId="49" applyNumberFormat="1" applyFont="1" applyFill="1" applyBorder="1" applyAlignment="1">
      <alignment horizontal="center"/>
    </xf>
    <xf numFmtId="0" fontId="0" fillId="0" borderId="0" xfId="49" applyNumberFormat="1" applyFont="1" applyFill="1" applyBorder="1" applyAlignment="1">
      <alignment vertical="center" wrapText="1"/>
    </xf>
    <xf numFmtId="0" fontId="6" fillId="8" borderId="0" xfId="49" applyNumberFormat="1" applyFont="1" applyFill="1" applyBorder="1" applyAlignment="1">
      <alignment vertical="center" wrapText="1"/>
    </xf>
    <xf numFmtId="0" fontId="1" fillId="9" borderId="0" xfId="49" applyNumberFormat="1" applyFont="1" applyFill="1" applyBorder="1"/>
    <xf numFmtId="0" fontId="6" fillId="10" borderId="0" xfId="49" applyNumberFormat="1" applyFont="1" applyFill="1" applyBorder="1" applyAlignment="1">
      <alignment horizontal="center" wrapText="1"/>
    </xf>
    <xf numFmtId="1" fontId="0" fillId="0" borderId="0" xfId="49" applyNumberFormat="1" applyFont="1" applyFill="1" applyBorder="1" applyAlignment="1">
      <alignment vertical="center" wrapText="1"/>
    </xf>
    <xf numFmtId="176" fontId="0" fillId="0" borderId="0" xfId="49" applyNumberFormat="1" applyFont="1" applyFill="1" applyBorder="1" applyAlignment="1">
      <alignment vertical="center" wrapText="1"/>
    </xf>
    <xf numFmtId="0" fontId="1" fillId="11" borderId="0" xfId="49" applyNumberFormat="1" applyFont="1" applyFill="1" applyBorder="1"/>
    <xf numFmtId="0" fontId="6" fillId="12" borderId="0" xfId="49" applyNumberFormat="1" applyFont="1" applyFill="1" applyBorder="1" applyAlignment="1">
      <alignment horizontal="center" wrapText="1"/>
    </xf>
    <xf numFmtId="0" fontId="1" fillId="13" borderId="0" xfId="49" applyNumberFormat="1" applyFont="1" applyFill="1" applyBorder="1"/>
    <xf numFmtId="0" fontId="6" fillId="14" borderId="0" xfId="49" applyNumberFormat="1" applyFont="1" applyFill="1" applyBorder="1" applyAlignment="1">
      <alignment horizontal="center" wrapText="1"/>
    </xf>
    <xf numFmtId="176" fontId="6" fillId="8" borderId="0" xfId="49" applyNumberFormat="1" applyFont="1" applyFill="1" applyBorder="1" applyAlignment="1">
      <alignment vertical="center" wrapText="1"/>
    </xf>
    <xf numFmtId="0" fontId="1" fillId="15" borderId="0" xfId="49" applyNumberFormat="1" applyFont="1" applyFill="1" applyBorder="1"/>
    <xf numFmtId="0" fontId="6" fillId="10" borderId="0" xfId="49" applyNumberFormat="1" applyFont="1" applyFill="1" applyBorder="1" applyAlignment="1">
      <alignment vertical="top"/>
    </xf>
    <xf numFmtId="0" fontId="7" fillId="16" borderId="0" xfId="49" applyNumberFormat="1" applyFont="1" applyFill="1" applyBorder="1" applyAlignment="1">
      <alignment wrapText="1"/>
    </xf>
    <xf numFmtId="0" fontId="1" fillId="17" borderId="0" xfId="49" applyNumberFormat="1" applyFont="1" applyFill="1" applyBorder="1"/>
    <xf numFmtId="0" fontId="6" fillId="18" borderId="0" xfId="49" applyNumberFormat="1" applyFont="1" applyFill="1" applyBorder="1" applyAlignment="1">
      <alignment horizont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1">
    <dxf>
      <font>
        <color rgb="FF006100"/>
      </font>
      <fill>
        <patternFill patternType="solid">
          <bgColor rgb="FFE2F0D9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color rgb="FF1F4E78"/>
      </font>
      <fill>
        <patternFill patternType="solid">
          <bgColor rgb="FFDDEBF7"/>
        </patternFill>
      </fill>
    </dxf>
    <dxf>
      <font>
        <color rgb="FF9C0006"/>
      </font>
      <fill>
        <patternFill patternType="solid">
          <bgColor rgb="FFFCE4D6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4"/>
  <sheetViews>
    <sheetView tabSelected="1" workbookViewId="0">
      <selection activeCell="A1" sqref="A1:J1"/>
    </sheetView>
  </sheetViews>
  <sheetFormatPr defaultColWidth="9" defaultRowHeight="16.8"/>
  <cols>
    <col min="1" max="1" width="15" customWidth="1"/>
    <col min="2" max="2" width="24" customWidth="1"/>
    <col min="3" max="7" width="18" customWidth="1"/>
    <col min="8" max="8" width="20" customWidth="1"/>
    <col min="9" max="9" width="18" customWidth="1"/>
    <col min="10" max="10" width="38" customWidth="1"/>
    <col min="11" max="11" width="16" customWidth="1"/>
  </cols>
  <sheetData>
    <row r="1" ht="30" customHeight="1" spans="1:10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</row>
    <row r="2" ht="42" customHeight="1" spans="1:10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</row>
    <row r="4" spans="1:10">
      <c r="A4" s="7" t="s">
        <v>2</v>
      </c>
      <c r="B4" s="7"/>
      <c r="C4" s="7"/>
      <c r="D4" s="7"/>
      <c r="F4" s="14" t="s">
        <v>3</v>
      </c>
      <c r="G4" s="14"/>
      <c r="H4" s="14"/>
      <c r="I4" s="14"/>
      <c r="J4" s="14"/>
    </row>
    <row r="5" ht="17" spans="1:10">
      <c r="A5" s="15" t="s">
        <v>4</v>
      </c>
      <c r="B5" s="15" t="s">
        <v>5</v>
      </c>
      <c r="C5" s="15" t="s">
        <v>4</v>
      </c>
      <c r="D5" s="15" t="s">
        <v>5</v>
      </c>
      <c r="F5" s="16" t="s">
        <v>6</v>
      </c>
      <c r="G5" s="16" t="s">
        <v>7</v>
      </c>
      <c r="H5" s="16" t="s">
        <v>8</v>
      </c>
      <c r="I5" s="16" t="s">
        <v>9</v>
      </c>
      <c r="J5" s="16" t="s">
        <v>10</v>
      </c>
    </row>
    <row r="6" ht="34" spans="1:10">
      <c r="A6" s="17" t="s">
        <v>11</v>
      </c>
      <c r="B6" s="17" t="s">
        <v>12</v>
      </c>
      <c r="C6" s="17" t="s">
        <v>13</v>
      </c>
      <c r="D6" s="17" t="s">
        <v>14</v>
      </c>
      <c r="F6" s="17" t="s">
        <v>15</v>
      </c>
      <c r="G6" s="18" t="s">
        <v>16</v>
      </c>
      <c r="H6" s="18" t="s">
        <v>16</v>
      </c>
      <c r="I6" s="17" t="s">
        <v>17</v>
      </c>
      <c r="J6" s="17" t="s">
        <v>18</v>
      </c>
    </row>
    <row r="7" ht="34" spans="1:10">
      <c r="A7" s="17" t="s">
        <v>19</v>
      </c>
      <c r="B7" s="17" t="s">
        <v>20</v>
      </c>
      <c r="C7" s="17" t="s">
        <v>21</v>
      </c>
      <c r="D7" s="17" t="s">
        <v>22</v>
      </c>
      <c r="F7" s="17" t="s">
        <v>23</v>
      </c>
      <c r="G7" s="17" t="s">
        <v>24</v>
      </c>
      <c r="H7" s="17" t="s">
        <v>25</v>
      </c>
      <c r="I7" s="17" t="s">
        <v>26</v>
      </c>
      <c r="J7" s="17" t="s">
        <v>27</v>
      </c>
    </row>
    <row r="8" ht="34" spans="1:10">
      <c r="A8" s="17" t="s">
        <v>28</v>
      </c>
      <c r="B8" s="17" t="s">
        <v>29</v>
      </c>
      <c r="C8" s="17" t="s">
        <v>30</v>
      </c>
      <c r="D8" s="17" t="s">
        <v>31</v>
      </c>
      <c r="F8" s="17" t="s">
        <v>32</v>
      </c>
      <c r="G8" s="18" t="s">
        <v>33</v>
      </c>
      <c r="H8" s="18" t="s">
        <v>34</v>
      </c>
      <c r="I8" s="17" t="s">
        <v>35</v>
      </c>
      <c r="J8" s="17" t="s">
        <v>36</v>
      </c>
    </row>
    <row r="9" ht="17" spans="1:10">
      <c r="A9" s="17" t="s">
        <v>37</v>
      </c>
      <c r="B9" s="17" t="s">
        <v>38</v>
      </c>
      <c r="C9" s="17" t="s">
        <v>39</v>
      </c>
      <c r="D9" s="17" t="s">
        <v>40</v>
      </c>
      <c r="F9" s="17" t="s">
        <v>41</v>
      </c>
      <c r="G9" s="17" t="s">
        <v>42</v>
      </c>
      <c r="H9" s="17" t="s">
        <v>43</v>
      </c>
      <c r="I9" s="17" t="s">
        <v>44</v>
      </c>
      <c r="J9" s="17" t="s">
        <v>45</v>
      </c>
    </row>
    <row r="10" ht="51" spans="1:10">
      <c r="A10" s="17" t="s">
        <v>46</v>
      </c>
      <c r="B10" s="17" t="s">
        <v>47</v>
      </c>
      <c r="C10" s="17" t="s">
        <v>48</v>
      </c>
      <c r="D10" s="17" t="s">
        <v>49</v>
      </c>
      <c r="F10" s="17" t="s">
        <v>50</v>
      </c>
      <c r="G10" s="18" t="s">
        <v>51</v>
      </c>
      <c r="H10" s="18" t="s">
        <v>52</v>
      </c>
      <c r="I10" s="17" t="s">
        <v>17</v>
      </c>
      <c r="J10" s="17" t="s">
        <v>53</v>
      </c>
    </row>
    <row r="12" spans="1:10">
      <c r="A12" s="19" t="s">
        <v>54</v>
      </c>
      <c r="B12" s="19"/>
      <c r="C12" s="19"/>
      <c r="D12" s="19"/>
      <c r="E12" s="19"/>
      <c r="F12" s="19"/>
      <c r="G12" s="19"/>
      <c r="H12" s="19"/>
      <c r="I12" s="19"/>
      <c r="J12" s="19"/>
    </row>
    <row r="13" ht="17" spans="1:10">
      <c r="A13" s="20" t="s">
        <v>55</v>
      </c>
      <c r="B13" s="20" t="s">
        <v>56</v>
      </c>
      <c r="C13" s="20" t="s">
        <v>57</v>
      </c>
      <c r="D13" s="20" t="s">
        <v>58</v>
      </c>
      <c r="E13" s="20" t="s">
        <v>59</v>
      </c>
      <c r="F13" s="20" t="s">
        <v>60</v>
      </c>
      <c r="G13" s="20" t="s">
        <v>61</v>
      </c>
      <c r="H13" s="20" t="s">
        <v>62</v>
      </c>
      <c r="I13" s="20" t="s">
        <v>63</v>
      </c>
      <c r="J13" s="20" t="s">
        <v>64</v>
      </c>
    </row>
    <row r="14" ht="34" spans="1:10">
      <c r="A14" s="17" t="s">
        <v>7</v>
      </c>
      <c r="B14" s="21">
        <f>E43</f>
        <v>9</v>
      </c>
      <c r="C14" s="21">
        <f>G43</f>
        <v>4</v>
      </c>
      <c r="D14" s="22">
        <f>C14/B14</f>
        <v>0.444444444444444</v>
      </c>
      <c r="E14" s="21">
        <f>H43</f>
        <v>6</v>
      </c>
      <c r="F14" s="22">
        <f>E14/B14</f>
        <v>0.666666666666667</v>
      </c>
      <c r="G14" s="21">
        <f>I43</f>
        <v>6</v>
      </c>
      <c r="H14" s="22">
        <f>G14/B14</f>
        <v>0.666666666666667</v>
      </c>
      <c r="I14" s="21">
        <f>F43</f>
        <v>292</v>
      </c>
      <c r="J14" s="17" t="s">
        <v>65</v>
      </c>
    </row>
    <row r="15" ht="34" spans="1:10">
      <c r="A15" s="17" t="s">
        <v>8</v>
      </c>
      <c r="B15" s="21">
        <f>E44</f>
        <v>3</v>
      </c>
      <c r="C15" s="21">
        <f>G44</f>
        <v>2</v>
      </c>
      <c r="D15" s="22">
        <f>C15/B15</f>
        <v>0.666666666666667</v>
      </c>
      <c r="E15" s="21">
        <f>H44</f>
        <v>2</v>
      </c>
      <c r="F15" s="22">
        <f>E15/B15</f>
        <v>0.666666666666667</v>
      </c>
      <c r="G15" s="21">
        <f>I44</f>
        <v>3</v>
      </c>
      <c r="H15" s="22">
        <f>G15/B15</f>
        <v>1</v>
      </c>
      <c r="I15" s="21">
        <f>F44</f>
        <v>292</v>
      </c>
      <c r="J15" s="17" t="s">
        <v>66</v>
      </c>
    </row>
    <row r="17" spans="1:10">
      <c r="A17" s="23" t="s">
        <v>67</v>
      </c>
      <c r="B17" s="23"/>
      <c r="C17" s="23"/>
      <c r="D17" s="23"/>
      <c r="E17" s="23"/>
      <c r="F17" s="23"/>
      <c r="G17" s="23"/>
      <c r="H17" s="23"/>
      <c r="I17" s="23"/>
      <c r="J17" s="23"/>
    </row>
    <row r="18" ht="34" spans="1:10">
      <c r="A18" s="24" t="s">
        <v>55</v>
      </c>
      <c r="B18" s="24" t="s">
        <v>68</v>
      </c>
      <c r="C18" s="24" t="s">
        <v>69</v>
      </c>
      <c r="D18" s="24" t="s">
        <v>70</v>
      </c>
      <c r="E18" s="24" t="s">
        <v>71</v>
      </c>
      <c r="F18" s="24" t="s">
        <v>72</v>
      </c>
      <c r="G18" s="24" t="s">
        <v>73</v>
      </c>
      <c r="H18" s="24" t="s">
        <v>74</v>
      </c>
      <c r="I18" s="24" t="s">
        <v>75</v>
      </c>
      <c r="J18" s="24" t="s">
        <v>76</v>
      </c>
    </row>
    <row r="19" ht="17" spans="1:10">
      <c r="A19" s="17" t="s">
        <v>7</v>
      </c>
      <c r="B19" s="21">
        <v>10</v>
      </c>
      <c r="C19" s="21">
        <v>10</v>
      </c>
      <c r="D19" s="22">
        <f t="shared" ref="D19:D24" si="0">C19/B19</f>
        <v>1</v>
      </c>
      <c r="E19" s="21">
        <v>10</v>
      </c>
      <c r="F19" s="22">
        <f t="shared" ref="F19:F24" si="1">E19/B19</f>
        <v>1</v>
      </c>
      <c r="G19" s="21">
        <v>10</v>
      </c>
      <c r="H19" s="17" t="s">
        <v>77</v>
      </c>
      <c r="I19" s="17" t="s">
        <v>78</v>
      </c>
      <c r="J19" s="17" t="s">
        <v>79</v>
      </c>
    </row>
    <row r="20" ht="17" spans="1:10">
      <c r="A20" s="17" t="s">
        <v>7</v>
      </c>
      <c r="B20" s="21">
        <v>20</v>
      </c>
      <c r="C20" s="21">
        <v>18</v>
      </c>
      <c r="D20" s="22">
        <f t="shared" si="0"/>
        <v>0.9</v>
      </c>
      <c r="E20" s="21">
        <v>19</v>
      </c>
      <c r="F20" s="22">
        <f t="shared" si="1"/>
        <v>0.95</v>
      </c>
      <c r="G20" s="21">
        <v>18</v>
      </c>
      <c r="H20" s="17" t="s">
        <v>80</v>
      </c>
      <c r="I20" s="17" t="s">
        <v>78</v>
      </c>
      <c r="J20" s="17" t="s">
        <v>81</v>
      </c>
    </row>
    <row r="21" ht="34" spans="1:10">
      <c r="A21" s="17" t="s">
        <v>7</v>
      </c>
      <c r="B21" s="21">
        <v>50</v>
      </c>
      <c r="C21" s="21">
        <v>30</v>
      </c>
      <c r="D21" s="22">
        <f t="shared" si="0"/>
        <v>0.6</v>
      </c>
      <c r="E21" s="21">
        <v>44</v>
      </c>
      <c r="F21" s="22">
        <f t="shared" si="1"/>
        <v>0.88</v>
      </c>
      <c r="G21" s="21">
        <v>38</v>
      </c>
      <c r="H21" s="17" t="s">
        <v>82</v>
      </c>
      <c r="I21" s="17" t="s">
        <v>78</v>
      </c>
      <c r="J21" s="17" t="s">
        <v>83</v>
      </c>
    </row>
    <row r="22" ht="17" spans="1:10">
      <c r="A22" s="17" t="s">
        <v>8</v>
      </c>
      <c r="B22" s="21">
        <v>10</v>
      </c>
      <c r="C22" s="21">
        <v>10</v>
      </c>
      <c r="D22" s="22">
        <f t="shared" si="0"/>
        <v>1</v>
      </c>
      <c r="E22" s="21">
        <v>10</v>
      </c>
      <c r="F22" s="22">
        <f t="shared" si="1"/>
        <v>1</v>
      </c>
      <c r="G22" s="21">
        <v>10</v>
      </c>
      <c r="H22" s="17" t="s">
        <v>77</v>
      </c>
      <c r="I22" s="17" t="s">
        <v>78</v>
      </c>
      <c r="J22" s="17" t="s">
        <v>79</v>
      </c>
    </row>
    <row r="23" ht="34" spans="1:10">
      <c r="A23" s="17" t="s">
        <v>8</v>
      </c>
      <c r="B23" s="21">
        <v>20</v>
      </c>
      <c r="C23" s="21">
        <v>18</v>
      </c>
      <c r="D23" s="22">
        <f t="shared" si="0"/>
        <v>0.9</v>
      </c>
      <c r="E23" s="21">
        <v>20</v>
      </c>
      <c r="F23" s="22">
        <f t="shared" si="1"/>
        <v>1</v>
      </c>
      <c r="G23" s="21">
        <v>20</v>
      </c>
      <c r="H23" s="17" t="s">
        <v>82</v>
      </c>
      <c r="I23" s="17" t="s">
        <v>78</v>
      </c>
      <c r="J23" s="17" t="s">
        <v>84</v>
      </c>
    </row>
    <row r="24" ht="34" spans="1:10">
      <c r="A24" s="17" t="s">
        <v>8</v>
      </c>
      <c r="B24" s="21">
        <v>50</v>
      </c>
      <c r="C24" s="21">
        <v>38</v>
      </c>
      <c r="D24" s="22">
        <f t="shared" si="0"/>
        <v>0.76</v>
      </c>
      <c r="E24" s="21">
        <v>46</v>
      </c>
      <c r="F24" s="22">
        <f t="shared" si="1"/>
        <v>0.92</v>
      </c>
      <c r="G24" s="21">
        <v>44</v>
      </c>
      <c r="H24" s="17" t="s">
        <v>85</v>
      </c>
      <c r="I24" s="17" t="s">
        <v>78</v>
      </c>
      <c r="J24" s="17" t="s">
        <v>86</v>
      </c>
    </row>
    <row r="26" spans="1:10">
      <c r="A26" s="25" t="s">
        <v>87</v>
      </c>
      <c r="B26" s="25"/>
      <c r="C26" s="25"/>
      <c r="D26" s="25"/>
      <c r="E26" s="25"/>
      <c r="F26" s="25"/>
      <c r="G26" s="25"/>
      <c r="H26" s="25"/>
      <c r="I26" s="25"/>
      <c r="J26" s="25"/>
    </row>
    <row r="27" ht="34" spans="1:10">
      <c r="A27" s="26" t="s">
        <v>55</v>
      </c>
      <c r="B27" s="26" t="s">
        <v>88</v>
      </c>
      <c r="C27" s="26" t="s">
        <v>89</v>
      </c>
      <c r="D27" s="26" t="s">
        <v>90</v>
      </c>
      <c r="E27" s="26" t="s">
        <v>91</v>
      </c>
      <c r="F27" s="26" t="s">
        <v>92</v>
      </c>
      <c r="G27" s="26" t="s">
        <v>93</v>
      </c>
      <c r="H27" s="26" t="s">
        <v>94</v>
      </c>
      <c r="I27" s="26" t="s">
        <v>95</v>
      </c>
      <c r="J27" s="26" t="s">
        <v>96</v>
      </c>
    </row>
    <row r="28" ht="84" spans="1:10">
      <c r="A28" s="17" t="s">
        <v>7</v>
      </c>
      <c r="B28" s="17">
        <v>10</v>
      </c>
      <c r="C28" s="17">
        <f>COUNTIFS(Asthma_top50!$A$2:$A$51,"&lt;=10",Asthma_top50!$G$2:$G$51,1)</f>
        <v>4</v>
      </c>
      <c r="D28" s="17">
        <f>B28-C28</f>
        <v>6</v>
      </c>
      <c r="E28" s="18">
        <f>COUNTIFS(Asthma_top50!$A$2:$A$51,"&lt;=10",Asthma_top50!$G$2:$G$51,0,Asthma_top50!$H$2:$H$51,"Confirmed (direct human)")</f>
        <v>6</v>
      </c>
      <c r="F28" s="27">
        <f>E28/D28</f>
        <v>1</v>
      </c>
      <c r="G28" s="17" t="s">
        <v>97</v>
      </c>
      <c r="H28" s="17" t="s">
        <v>98</v>
      </c>
      <c r="I28" s="17" t="s">
        <v>99</v>
      </c>
      <c r="J28" s="17" t="s">
        <v>100</v>
      </c>
    </row>
    <row r="29" ht="84" spans="1:10">
      <c r="A29" s="17" t="s">
        <v>8</v>
      </c>
      <c r="B29" s="17">
        <v>10</v>
      </c>
      <c r="C29" s="17">
        <f>COUNTIFS(IBD_top50!$A$2:$A$51,"&lt;=10",IBD_top50!$G$2:$G$51,1)</f>
        <v>2</v>
      </c>
      <c r="D29" s="17">
        <f>B29-C29</f>
        <v>8</v>
      </c>
      <c r="E29" s="18">
        <f>COUNTIFS(IBD_top50!$A$2:$A$51,"&lt;=10",IBD_top50!$G$2:$G$51,0,IBD_top50!$H$2:$H$51,"Confirmed (direct human)")</f>
        <v>8</v>
      </c>
      <c r="F29" s="27">
        <f>E29/D29</f>
        <v>1</v>
      </c>
      <c r="G29" s="17" t="s">
        <v>101</v>
      </c>
      <c r="H29" s="17" t="s">
        <v>98</v>
      </c>
      <c r="I29" s="17" t="s">
        <v>99</v>
      </c>
      <c r="J29" s="17" t="s">
        <v>102</v>
      </c>
    </row>
    <row r="31" spans="1:10">
      <c r="A31" s="28" t="s">
        <v>103</v>
      </c>
      <c r="B31" s="28"/>
      <c r="C31" s="28"/>
      <c r="D31" s="28"/>
      <c r="E31" s="28"/>
      <c r="F31" s="28"/>
      <c r="G31" s="28"/>
      <c r="H31" s="28"/>
      <c r="I31" s="28"/>
      <c r="J31" s="28"/>
    </row>
    <row r="32" ht="42" customHeight="1" spans="1:10">
      <c r="A32" s="29" t="s">
        <v>104</v>
      </c>
      <c r="B32" s="2" t="s">
        <v>105</v>
      </c>
      <c r="C32" s="2"/>
      <c r="D32" s="2"/>
      <c r="E32" s="2"/>
      <c r="F32" s="2"/>
      <c r="G32" s="2"/>
      <c r="H32" s="2"/>
      <c r="I32" s="2"/>
      <c r="J32" s="2"/>
    </row>
    <row r="33" ht="42" customHeight="1" spans="1:11">
      <c r="A33" s="29" t="s">
        <v>106</v>
      </c>
      <c r="B33" s="2" t="s">
        <v>107</v>
      </c>
      <c r="C33" s="2"/>
      <c r="D33" s="2"/>
      <c r="E33" s="2"/>
      <c r="F33" s="2"/>
      <c r="G33" s="2"/>
      <c r="H33" s="2"/>
      <c r="I33" s="2"/>
      <c r="J33" s="2"/>
    </row>
    <row r="34" ht="42" customHeight="1" spans="1:11">
      <c r="A34" s="29" t="s">
        <v>108</v>
      </c>
      <c r="B34" s="2" t="s">
        <v>109</v>
      </c>
      <c r="C34" s="2"/>
      <c r="D34" s="2"/>
      <c r="E34" s="2"/>
      <c r="F34" s="2"/>
      <c r="G34" s="2"/>
      <c r="H34" s="2"/>
      <c r="I34" s="2"/>
      <c r="J34" s="2"/>
    </row>
    <row r="35" ht="42" customHeight="1" spans="1:11">
      <c r="A35" s="29" t="s">
        <v>110</v>
      </c>
      <c r="B35" s="2" t="s">
        <v>111</v>
      </c>
      <c r="C35" s="2"/>
      <c r="D35" s="2"/>
      <c r="E35" s="2"/>
      <c r="F35" s="2"/>
      <c r="G35" s="2"/>
      <c r="H35" s="2"/>
      <c r="I35" s="2"/>
      <c r="J35" s="2"/>
    </row>
    <row r="36" ht="42" customHeight="1" spans="1:11">
      <c r="A36" s="29" t="s">
        <v>112</v>
      </c>
      <c r="B36" s="2" t="s">
        <v>113</v>
      </c>
      <c r="C36" s="2"/>
      <c r="D36" s="2"/>
      <c r="E36" s="2"/>
      <c r="F36" s="2"/>
      <c r="G36" s="2"/>
      <c r="H36" s="2"/>
      <c r="I36" s="2"/>
      <c r="J36" s="2"/>
    </row>
    <row r="38" ht="48" customHeight="1" spans="1:11">
      <c r="A38" s="30" t="s">
        <v>114</v>
      </c>
      <c r="B38" s="30"/>
      <c r="C38" s="30"/>
      <c r="D38" s="30"/>
      <c r="E38" s="30"/>
      <c r="F38" s="30"/>
      <c r="G38" s="30"/>
      <c r="H38" s="30"/>
      <c r="I38" s="30"/>
      <c r="J38" s="30"/>
    </row>
    <row r="40" spans="1:11">
      <c r="A40" s="31" t="s">
        <v>115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2" ht="34" spans="1:11">
      <c r="A42" s="32" t="s">
        <v>116</v>
      </c>
      <c r="B42" s="32" t="s">
        <v>117</v>
      </c>
      <c r="C42" s="32" t="s">
        <v>118</v>
      </c>
      <c r="D42" s="32" t="s">
        <v>119</v>
      </c>
      <c r="E42" s="32" t="s">
        <v>120</v>
      </c>
      <c r="F42" s="32" t="s">
        <v>121</v>
      </c>
      <c r="G42" s="32" t="s">
        <v>122</v>
      </c>
      <c r="H42" s="32" t="s">
        <v>123</v>
      </c>
      <c r="I42" s="32" t="s">
        <v>124</v>
      </c>
      <c r="J42" s="32" t="s">
        <v>125</v>
      </c>
      <c r="K42" s="32" t="s">
        <v>126</v>
      </c>
    </row>
    <row r="43" ht="17" spans="1:11">
      <c r="A43" s="8">
        <v>4</v>
      </c>
      <c r="B43" s="8" t="s">
        <v>7</v>
      </c>
      <c r="C43" s="8" t="s">
        <v>22</v>
      </c>
      <c r="D43" s="8">
        <v>10</v>
      </c>
      <c r="E43" s="8">
        <v>9</v>
      </c>
      <c r="F43" s="8">
        <v>292</v>
      </c>
      <c r="G43" s="8">
        <v>4</v>
      </c>
      <c r="H43" s="8">
        <v>6</v>
      </c>
      <c r="I43" s="8">
        <v>6</v>
      </c>
      <c r="J43" s="8">
        <v>0.122815664857626</v>
      </c>
      <c r="K43" s="8">
        <v>0.000583798238025382</v>
      </c>
    </row>
    <row r="44" ht="34" spans="1:11">
      <c r="A44" s="8">
        <v>23</v>
      </c>
      <c r="B44" s="8" t="s">
        <v>127</v>
      </c>
      <c r="C44" s="8" t="s">
        <v>22</v>
      </c>
      <c r="D44" s="8">
        <v>10</v>
      </c>
      <c r="E44" s="8">
        <v>3</v>
      </c>
      <c r="F44" s="8">
        <v>292</v>
      </c>
      <c r="G44" s="8">
        <v>2</v>
      </c>
      <c r="H44" s="8">
        <v>2</v>
      </c>
      <c r="I44" s="8">
        <v>3</v>
      </c>
      <c r="J44" s="8">
        <v>0.122617304325104</v>
      </c>
      <c r="K44" s="8">
        <v>0.000389714621159791</v>
      </c>
    </row>
  </sheetData>
  <mergeCells count="15">
    <mergeCell ref="A1:J1"/>
    <mergeCell ref="A2:J2"/>
    <mergeCell ref="A4:D4"/>
    <mergeCell ref="F4:J4"/>
    <mergeCell ref="A12:J12"/>
    <mergeCell ref="A17:J17"/>
    <mergeCell ref="A26:J26"/>
    <mergeCell ref="A31:J31"/>
    <mergeCell ref="B32:J32"/>
    <mergeCell ref="B33:J33"/>
    <mergeCell ref="B34:J34"/>
    <mergeCell ref="B35:J35"/>
    <mergeCell ref="B36:J36"/>
    <mergeCell ref="A38:J38"/>
    <mergeCell ref="A40:K40"/>
  </mergeCells>
  <conditionalFormatting sqref="D19:D24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F19:F24">
    <cfRule type="colorScale" priority="2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"/>
  <sheetViews>
    <sheetView workbookViewId="0">
      <selection activeCell="A1" sqref="A1"/>
    </sheetView>
  </sheetViews>
  <sheetFormatPr defaultColWidth="9" defaultRowHeight="16.8" outlineLevelRow="1"/>
  <sheetData>
    <row r="1" spans="1:23">
      <c r="A1" t="s">
        <v>128</v>
      </c>
      <c r="B1" t="s">
        <v>129</v>
      </c>
      <c r="C1" t="s">
        <v>130</v>
      </c>
      <c r="D1" t="s">
        <v>119</v>
      </c>
      <c r="E1" t="s">
        <v>131</v>
      </c>
      <c r="F1" t="s">
        <v>132</v>
      </c>
      <c r="G1" t="s">
        <v>133</v>
      </c>
      <c r="H1" t="s">
        <v>134</v>
      </c>
      <c r="I1" t="s">
        <v>135</v>
      </c>
      <c r="J1" t="s">
        <v>136</v>
      </c>
      <c r="K1" t="s">
        <v>137</v>
      </c>
      <c r="L1" t="s">
        <v>138</v>
      </c>
      <c r="M1" t="s">
        <v>139</v>
      </c>
      <c r="N1" t="s">
        <v>140</v>
      </c>
      <c r="O1" t="s">
        <v>141</v>
      </c>
      <c r="P1" t="s">
        <v>142</v>
      </c>
      <c r="Q1" t="s">
        <v>143</v>
      </c>
      <c r="R1" t="s">
        <v>144</v>
      </c>
      <c r="S1" t="s">
        <v>145</v>
      </c>
      <c r="T1" t="s">
        <v>146</v>
      </c>
      <c r="U1" t="s">
        <v>147</v>
      </c>
      <c r="V1" t="s">
        <v>148</v>
      </c>
      <c r="W1" t="s">
        <v>149</v>
      </c>
    </row>
    <row r="2" spans="1:23">
      <c r="A2" t="s">
        <v>12</v>
      </c>
      <c r="B2" t="s">
        <v>22</v>
      </c>
      <c r="C2" t="s">
        <v>150</v>
      </c>
      <c r="D2">
        <v>10</v>
      </c>
      <c r="E2">
        <v>2025</v>
      </c>
      <c r="F2">
        <v>300</v>
      </c>
      <c r="G2">
        <v>0.00025</v>
      </c>
      <c r="H2">
        <v>5e-5</v>
      </c>
      <c r="I2">
        <v>256</v>
      </c>
      <c r="J2">
        <v>128</v>
      </c>
      <c r="K2">
        <v>2</v>
      </c>
      <c r="L2">
        <v>0.5</v>
      </c>
      <c r="M2">
        <v>0.1</v>
      </c>
      <c r="N2">
        <v>0.2</v>
      </c>
      <c r="O2">
        <v>1</v>
      </c>
      <c r="P2">
        <v>1</v>
      </c>
      <c r="Q2">
        <v>0.25</v>
      </c>
      <c r="R2">
        <v>128</v>
      </c>
      <c r="S2">
        <v>0</v>
      </c>
      <c r="T2">
        <v>-2</v>
      </c>
      <c r="U2" t="s">
        <v>151</v>
      </c>
      <c r="V2" t="s">
        <v>152</v>
      </c>
      <c r="W2" t="s">
        <v>153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1"/>
  <sheetViews>
    <sheetView workbookViewId="0">
      <selection activeCell="A1" sqref="A1"/>
    </sheetView>
  </sheetViews>
  <sheetFormatPr defaultColWidth="9" defaultRowHeight="16.8"/>
  <cols>
    <col min="1" max="1" width="8" customWidth="1"/>
    <col min="2" max="2" width="18" customWidth="1"/>
    <col min="3" max="3" width="12" customWidth="1"/>
    <col min="4" max="4" width="28" customWidth="1"/>
    <col min="5" max="6" width="14" customWidth="1"/>
    <col min="7" max="7" width="20" customWidth="1"/>
    <col min="8" max="8" width="34" customWidth="1"/>
    <col min="9" max="9" width="30" customWidth="1"/>
    <col min="10" max="10" width="62" customWidth="1"/>
    <col min="11" max="11" width="38" customWidth="1"/>
    <col min="12" max="12" width="34" customWidth="1"/>
    <col min="13" max="13" width="18" customWidth="1"/>
  </cols>
  <sheetData>
    <row r="1" ht="52.8" customHeight="1" spans="1:13">
      <c r="A1" s="11" t="s">
        <v>154</v>
      </c>
      <c r="B1" s="11" t="s">
        <v>155</v>
      </c>
      <c r="C1" s="11" t="s">
        <v>156</v>
      </c>
      <c r="D1" s="11" t="s">
        <v>157</v>
      </c>
      <c r="E1" s="11" t="s">
        <v>158</v>
      </c>
      <c r="F1" s="11" t="s">
        <v>159</v>
      </c>
      <c r="G1" s="11" t="s">
        <v>160</v>
      </c>
      <c r="H1" s="11" t="s">
        <v>161</v>
      </c>
      <c r="I1" s="11" t="s">
        <v>162</v>
      </c>
      <c r="J1" s="11" t="s">
        <v>163</v>
      </c>
      <c r="K1" s="11" t="s">
        <v>164</v>
      </c>
      <c r="L1" s="11" t="s">
        <v>165</v>
      </c>
      <c r="M1" s="11" t="s">
        <v>166</v>
      </c>
    </row>
    <row r="2" ht="66" customHeight="1" spans="1:13">
      <c r="A2">
        <v>1</v>
      </c>
      <c r="B2">
        <v>108</v>
      </c>
      <c r="C2">
        <v>109</v>
      </c>
      <c r="D2" t="s">
        <v>167</v>
      </c>
      <c r="E2">
        <v>0.666639459133148</v>
      </c>
      <c r="F2">
        <v>0.0408395323096564</v>
      </c>
      <c r="G2">
        <v>0</v>
      </c>
      <c r="H2" s="8" t="s">
        <v>168</v>
      </c>
      <c r="I2" s="8" t="s">
        <v>169</v>
      </c>
      <c r="J2" s="8" t="s">
        <v>170</v>
      </c>
      <c r="K2" s="8" t="s">
        <v>171</v>
      </c>
      <c r="L2" s="8" t="s">
        <v>172</v>
      </c>
      <c r="M2" s="8" t="s">
        <v>173</v>
      </c>
    </row>
    <row r="3" ht="118.8" customHeight="1" spans="1:13">
      <c r="A3">
        <v>2</v>
      </c>
      <c r="B3">
        <v>4</v>
      </c>
      <c r="C3">
        <v>5</v>
      </c>
      <c r="D3" t="s">
        <v>174</v>
      </c>
      <c r="E3">
        <v>0.664289206266403</v>
      </c>
      <c r="F3">
        <v>0.0359579072662</v>
      </c>
      <c r="G3">
        <v>0</v>
      </c>
      <c r="H3" s="8" t="s">
        <v>168</v>
      </c>
      <c r="I3" s="8" t="s">
        <v>175</v>
      </c>
      <c r="J3" s="8" t="s">
        <v>176</v>
      </c>
      <c r="K3" s="8" t="s">
        <v>177</v>
      </c>
      <c r="L3" s="8" t="s">
        <v>172</v>
      </c>
      <c r="M3" s="8" t="s">
        <v>173</v>
      </c>
    </row>
    <row r="4" ht="105.6" customHeight="1" spans="1:13">
      <c r="A4">
        <v>3</v>
      </c>
      <c r="B4">
        <v>106</v>
      </c>
      <c r="C4">
        <v>107</v>
      </c>
      <c r="D4" t="s">
        <v>178</v>
      </c>
      <c r="E4">
        <v>0.649316656589508</v>
      </c>
      <c r="F4">
        <v>0.0378249195973976</v>
      </c>
      <c r="G4">
        <v>0</v>
      </c>
      <c r="H4" s="8" t="s">
        <v>168</v>
      </c>
      <c r="I4" s="8" t="s">
        <v>179</v>
      </c>
      <c r="J4" s="8" t="s">
        <v>180</v>
      </c>
      <c r="K4" s="8" t="s">
        <v>181</v>
      </c>
      <c r="L4" s="8" t="s">
        <v>172</v>
      </c>
      <c r="M4" s="8" t="s">
        <v>173</v>
      </c>
    </row>
    <row r="5" ht="118.8" customHeight="1" spans="1:13">
      <c r="A5">
        <v>4</v>
      </c>
      <c r="B5">
        <v>154</v>
      </c>
      <c r="C5">
        <v>155</v>
      </c>
      <c r="D5" t="s">
        <v>182</v>
      </c>
      <c r="E5">
        <v>0.637649720907211</v>
      </c>
      <c r="F5">
        <v>0.0894005129883949</v>
      </c>
      <c r="G5">
        <v>0</v>
      </c>
      <c r="H5" s="8" t="s">
        <v>168</v>
      </c>
      <c r="I5" s="8" t="s">
        <v>183</v>
      </c>
      <c r="J5" s="8" t="s">
        <v>184</v>
      </c>
      <c r="K5" s="8" t="s">
        <v>185</v>
      </c>
      <c r="L5" s="8" t="s">
        <v>172</v>
      </c>
      <c r="M5" s="8" t="s">
        <v>173</v>
      </c>
    </row>
    <row r="6" ht="92.4" customHeight="1" spans="1:13">
      <c r="A6">
        <v>5</v>
      </c>
      <c r="B6">
        <v>230</v>
      </c>
      <c r="C6">
        <v>231</v>
      </c>
      <c r="D6" t="s">
        <v>186</v>
      </c>
      <c r="E6">
        <v>0.630685546994209</v>
      </c>
      <c r="F6">
        <v>0.0873911974570474</v>
      </c>
      <c r="G6">
        <v>1</v>
      </c>
      <c r="H6" s="8" t="s">
        <v>168</v>
      </c>
      <c r="I6" s="8" t="s">
        <v>187</v>
      </c>
      <c r="J6" s="8" t="s">
        <v>188</v>
      </c>
      <c r="K6" s="8" t="s">
        <v>189</v>
      </c>
      <c r="L6" s="8" t="s">
        <v>172</v>
      </c>
      <c r="M6" s="8" t="s">
        <v>173</v>
      </c>
    </row>
    <row r="7" ht="105.6" customHeight="1" spans="1:13">
      <c r="A7">
        <v>6</v>
      </c>
      <c r="B7">
        <v>60</v>
      </c>
      <c r="C7">
        <v>61</v>
      </c>
      <c r="D7" t="s">
        <v>190</v>
      </c>
      <c r="E7">
        <v>0.614434719085693</v>
      </c>
      <c r="F7">
        <v>0.0600426298157579</v>
      </c>
      <c r="G7">
        <v>1</v>
      </c>
      <c r="H7" s="8" t="s">
        <v>168</v>
      </c>
      <c r="I7" s="8" t="s">
        <v>183</v>
      </c>
      <c r="J7" s="8" t="s">
        <v>191</v>
      </c>
      <c r="K7" s="8" t="s">
        <v>185</v>
      </c>
      <c r="L7" s="8" t="s">
        <v>172</v>
      </c>
      <c r="M7" s="8" t="s">
        <v>173</v>
      </c>
    </row>
    <row r="8" ht="105.6" customHeight="1" spans="1:13">
      <c r="A8">
        <v>7</v>
      </c>
      <c r="B8">
        <v>224</v>
      </c>
      <c r="C8">
        <v>225</v>
      </c>
      <c r="D8" t="s">
        <v>192</v>
      </c>
      <c r="E8">
        <v>0.585452249646187</v>
      </c>
      <c r="F8">
        <v>0.0924534752403473</v>
      </c>
      <c r="G8">
        <v>1</v>
      </c>
      <c r="H8" s="8" t="s">
        <v>168</v>
      </c>
      <c r="I8" s="8" t="s">
        <v>193</v>
      </c>
      <c r="J8" s="8" t="s">
        <v>194</v>
      </c>
      <c r="K8" s="8" t="s">
        <v>195</v>
      </c>
      <c r="L8" s="8" t="s">
        <v>172</v>
      </c>
      <c r="M8" s="8" t="s">
        <v>173</v>
      </c>
    </row>
    <row r="9" ht="105.6" customHeight="1" spans="1:13">
      <c r="A9">
        <v>8</v>
      </c>
      <c r="B9">
        <v>168</v>
      </c>
      <c r="C9">
        <v>169</v>
      </c>
      <c r="D9" t="s">
        <v>196</v>
      </c>
      <c r="E9">
        <v>0.56569896042347</v>
      </c>
      <c r="F9">
        <v>0.0941033429792516</v>
      </c>
      <c r="G9">
        <v>1</v>
      </c>
      <c r="H9" s="8" t="s">
        <v>168</v>
      </c>
      <c r="I9" s="8" t="s">
        <v>197</v>
      </c>
      <c r="J9" s="8" t="s">
        <v>198</v>
      </c>
      <c r="K9" s="8" t="s">
        <v>199</v>
      </c>
      <c r="L9" s="8" t="s">
        <v>172</v>
      </c>
      <c r="M9" s="8" t="s">
        <v>173</v>
      </c>
    </row>
    <row r="10" ht="66" customHeight="1" spans="1:13">
      <c r="A10">
        <v>9</v>
      </c>
      <c r="B10">
        <v>255</v>
      </c>
      <c r="C10">
        <v>256</v>
      </c>
      <c r="D10" t="s">
        <v>200</v>
      </c>
      <c r="E10">
        <v>0.561235505342484</v>
      </c>
      <c r="F10">
        <v>0.0994028341757683</v>
      </c>
      <c r="G10">
        <v>0</v>
      </c>
      <c r="H10" s="8" t="s">
        <v>168</v>
      </c>
      <c r="I10" s="8" t="s">
        <v>201</v>
      </c>
      <c r="J10" s="8" t="s">
        <v>202</v>
      </c>
      <c r="K10" s="8" t="s">
        <v>203</v>
      </c>
      <c r="L10" s="8" t="s">
        <v>172</v>
      </c>
      <c r="M10" s="8" t="s">
        <v>173</v>
      </c>
    </row>
    <row r="11" ht="105.6" customHeight="1" spans="1:13">
      <c r="A11">
        <v>10</v>
      </c>
      <c r="B11">
        <v>93</v>
      </c>
      <c r="C11">
        <v>94</v>
      </c>
      <c r="D11" t="s">
        <v>204</v>
      </c>
      <c r="E11">
        <v>0.559702315926552</v>
      </c>
      <c r="F11">
        <v>0.0744042938839847</v>
      </c>
      <c r="G11">
        <v>0</v>
      </c>
      <c r="H11" s="8" t="s">
        <v>168</v>
      </c>
      <c r="I11" s="8" t="s">
        <v>205</v>
      </c>
      <c r="J11" s="8" t="s">
        <v>206</v>
      </c>
      <c r="K11" s="8" t="s">
        <v>207</v>
      </c>
      <c r="L11" s="8" t="s">
        <v>172</v>
      </c>
      <c r="M11" s="8" t="s">
        <v>173</v>
      </c>
    </row>
    <row r="12" ht="92.4" customHeight="1" spans="1:13">
      <c r="A12">
        <v>11</v>
      </c>
      <c r="B12">
        <v>181</v>
      </c>
      <c r="C12">
        <v>182</v>
      </c>
      <c r="D12" t="s">
        <v>208</v>
      </c>
      <c r="E12">
        <v>0.508966487646103</v>
      </c>
      <c r="F12">
        <v>0.095583995263494</v>
      </c>
      <c r="G12">
        <v>0</v>
      </c>
      <c r="H12" s="8" t="s">
        <v>168</v>
      </c>
      <c r="I12" s="8" t="s">
        <v>205</v>
      </c>
      <c r="J12" s="8" t="s">
        <v>209</v>
      </c>
      <c r="K12" s="8" t="s">
        <v>207</v>
      </c>
      <c r="L12" s="8" t="s">
        <v>172</v>
      </c>
      <c r="M12" s="8" t="s">
        <v>173</v>
      </c>
    </row>
    <row r="13" ht="105.6" customHeight="1" spans="1:13">
      <c r="A13">
        <v>12</v>
      </c>
      <c r="B13">
        <v>183</v>
      </c>
      <c r="C13">
        <v>184</v>
      </c>
      <c r="D13" t="s">
        <v>210</v>
      </c>
      <c r="E13">
        <v>0.500904589891434</v>
      </c>
      <c r="F13">
        <v>0.0965223684231681</v>
      </c>
      <c r="G13">
        <v>0</v>
      </c>
      <c r="H13" s="8" t="s">
        <v>168</v>
      </c>
      <c r="I13" s="8" t="s">
        <v>211</v>
      </c>
      <c r="J13" s="8" t="s">
        <v>212</v>
      </c>
      <c r="K13" s="8" t="s">
        <v>213</v>
      </c>
      <c r="L13" s="8" t="s">
        <v>172</v>
      </c>
      <c r="M13" s="8" t="s">
        <v>173</v>
      </c>
    </row>
    <row r="14" ht="92.4" customHeight="1" spans="1:13">
      <c r="A14">
        <v>13</v>
      </c>
      <c r="B14">
        <v>136</v>
      </c>
      <c r="C14">
        <v>137</v>
      </c>
      <c r="D14" t="s">
        <v>214</v>
      </c>
      <c r="E14">
        <v>0.471600890159607</v>
      </c>
      <c r="F14">
        <v>0.081205404125075</v>
      </c>
      <c r="G14">
        <v>0</v>
      </c>
      <c r="H14" s="8" t="s">
        <v>168</v>
      </c>
      <c r="I14" s="8" t="s">
        <v>187</v>
      </c>
      <c r="J14" s="8" t="s">
        <v>215</v>
      </c>
      <c r="K14" s="8" t="s">
        <v>189</v>
      </c>
      <c r="L14" s="8" t="s">
        <v>172</v>
      </c>
      <c r="M14" s="8" t="s">
        <v>173</v>
      </c>
    </row>
    <row r="15" ht="66" customHeight="1" spans="1:13">
      <c r="A15">
        <v>14</v>
      </c>
      <c r="B15">
        <v>110</v>
      </c>
      <c r="C15">
        <v>111</v>
      </c>
      <c r="D15" t="s">
        <v>216</v>
      </c>
      <c r="E15">
        <v>0.467915919423103</v>
      </c>
      <c r="F15">
        <v>0.105966500592868</v>
      </c>
      <c r="G15">
        <v>0</v>
      </c>
      <c r="H15" s="8" t="s">
        <v>168</v>
      </c>
      <c r="I15" s="8" t="s">
        <v>217</v>
      </c>
      <c r="J15" s="8" t="s">
        <v>218</v>
      </c>
      <c r="K15" s="8" t="s">
        <v>219</v>
      </c>
      <c r="L15" s="8" t="s">
        <v>172</v>
      </c>
      <c r="M15" s="8" t="s">
        <v>173</v>
      </c>
    </row>
    <row r="16" ht="92.4" customHeight="1" spans="1:13">
      <c r="A16">
        <v>15</v>
      </c>
      <c r="B16">
        <v>260</v>
      </c>
      <c r="C16">
        <v>261</v>
      </c>
      <c r="D16" t="s">
        <v>220</v>
      </c>
      <c r="E16">
        <v>0.446051704883575</v>
      </c>
      <c r="F16">
        <v>0.0767010398049791</v>
      </c>
      <c r="G16">
        <v>0</v>
      </c>
      <c r="H16" s="8" t="s">
        <v>168</v>
      </c>
      <c r="I16" s="8" t="s">
        <v>221</v>
      </c>
      <c r="J16" s="8" t="s">
        <v>222</v>
      </c>
      <c r="K16" s="8" t="s">
        <v>223</v>
      </c>
      <c r="L16" s="8" t="s">
        <v>172</v>
      </c>
      <c r="M16" s="8" t="s">
        <v>173</v>
      </c>
    </row>
    <row r="17" ht="92.4" customHeight="1" spans="1:13">
      <c r="A17">
        <v>16</v>
      </c>
      <c r="B17">
        <v>254</v>
      </c>
      <c r="C17">
        <v>255</v>
      </c>
      <c r="D17" t="s">
        <v>224</v>
      </c>
      <c r="E17">
        <v>0.42545902132988</v>
      </c>
      <c r="F17">
        <v>0.0865995965979932</v>
      </c>
      <c r="G17">
        <v>1</v>
      </c>
      <c r="H17" s="8" t="s">
        <v>168</v>
      </c>
      <c r="I17" s="8" t="s">
        <v>225</v>
      </c>
      <c r="J17" s="8" t="s">
        <v>226</v>
      </c>
      <c r="K17" s="8" t="s">
        <v>227</v>
      </c>
      <c r="L17" s="8" t="s">
        <v>172</v>
      </c>
      <c r="M17" s="8" t="s">
        <v>173</v>
      </c>
    </row>
    <row r="18" ht="158.4" customHeight="1" spans="1:13">
      <c r="A18">
        <v>17</v>
      </c>
      <c r="B18">
        <v>68</v>
      </c>
      <c r="C18">
        <v>69</v>
      </c>
      <c r="D18" t="s">
        <v>228</v>
      </c>
      <c r="E18">
        <v>0.420275083184242</v>
      </c>
      <c r="F18">
        <v>0.0845021716354824</v>
      </c>
      <c r="G18">
        <v>0</v>
      </c>
      <c r="H18" s="8" t="s">
        <v>229</v>
      </c>
      <c r="I18" s="8" t="s">
        <v>230</v>
      </c>
      <c r="J18" s="8" t="s">
        <v>231</v>
      </c>
      <c r="K18" s="8" t="s">
        <v>232</v>
      </c>
      <c r="L18" s="8" t="s">
        <v>233</v>
      </c>
      <c r="M18" s="8" t="s">
        <v>234</v>
      </c>
    </row>
    <row r="19" ht="92.4" customHeight="1" spans="1:13">
      <c r="A19">
        <v>18</v>
      </c>
      <c r="B19">
        <v>137</v>
      </c>
      <c r="C19">
        <v>138</v>
      </c>
      <c r="D19" t="s">
        <v>235</v>
      </c>
      <c r="E19">
        <v>0.409371866285801</v>
      </c>
      <c r="F19">
        <v>0.0913261845496241</v>
      </c>
      <c r="G19">
        <v>0</v>
      </c>
      <c r="H19" s="8" t="s">
        <v>168</v>
      </c>
      <c r="I19" s="8" t="s">
        <v>211</v>
      </c>
      <c r="J19" s="8" t="s">
        <v>236</v>
      </c>
      <c r="K19" s="8" t="s">
        <v>213</v>
      </c>
      <c r="L19" s="8" t="s">
        <v>172</v>
      </c>
      <c r="M19" s="8" t="s">
        <v>173</v>
      </c>
    </row>
    <row r="20" ht="105.6" customHeight="1" spans="1:13">
      <c r="A20">
        <v>19</v>
      </c>
      <c r="B20">
        <v>165</v>
      </c>
      <c r="C20">
        <v>166</v>
      </c>
      <c r="D20" t="s">
        <v>237</v>
      </c>
      <c r="E20">
        <v>0.398884302377701</v>
      </c>
      <c r="F20">
        <v>0.0784089827253931</v>
      </c>
      <c r="G20">
        <v>1</v>
      </c>
      <c r="H20" s="8" t="s">
        <v>168</v>
      </c>
      <c r="I20" s="8" t="s">
        <v>221</v>
      </c>
      <c r="J20" s="8" t="s">
        <v>238</v>
      </c>
      <c r="K20" s="8" t="s">
        <v>223</v>
      </c>
      <c r="L20" s="8" t="s">
        <v>172</v>
      </c>
      <c r="M20" s="8" t="s">
        <v>173</v>
      </c>
    </row>
    <row r="21" ht="171.6" customHeight="1" spans="1:13">
      <c r="A21">
        <v>20</v>
      </c>
      <c r="B21">
        <v>145</v>
      </c>
      <c r="C21">
        <v>146</v>
      </c>
      <c r="D21" t="s">
        <v>239</v>
      </c>
      <c r="E21">
        <v>0.385618928074837</v>
      </c>
      <c r="F21">
        <v>0.0770797794160443</v>
      </c>
      <c r="G21">
        <v>0</v>
      </c>
      <c r="H21" s="8" t="s">
        <v>240</v>
      </c>
      <c r="I21" s="8" t="s">
        <v>241</v>
      </c>
      <c r="J21" s="8" t="s">
        <v>242</v>
      </c>
      <c r="K21" s="8" t="s">
        <v>243</v>
      </c>
      <c r="L21" s="8" t="s">
        <v>244</v>
      </c>
      <c r="M21" s="8" t="s">
        <v>245</v>
      </c>
    </row>
    <row r="22" ht="158.4" customHeight="1" spans="1:13">
      <c r="A22">
        <v>21</v>
      </c>
      <c r="B22">
        <v>105</v>
      </c>
      <c r="C22">
        <v>106</v>
      </c>
      <c r="D22" t="s">
        <v>246</v>
      </c>
      <c r="E22">
        <v>0.352956630289555</v>
      </c>
      <c r="F22">
        <v>0.120089822690057</v>
      </c>
      <c r="G22">
        <v>0</v>
      </c>
      <c r="H22" s="8" t="s">
        <v>229</v>
      </c>
      <c r="I22" s="8" t="s">
        <v>247</v>
      </c>
      <c r="J22" s="8" t="s">
        <v>248</v>
      </c>
      <c r="K22" s="8" t="s">
        <v>207</v>
      </c>
      <c r="L22" s="8" t="s">
        <v>249</v>
      </c>
      <c r="M22" s="8" t="s">
        <v>234</v>
      </c>
    </row>
    <row r="23" ht="145.2" customHeight="1" spans="1:13">
      <c r="A23">
        <v>22</v>
      </c>
      <c r="B23">
        <v>257</v>
      </c>
      <c r="C23">
        <v>258</v>
      </c>
      <c r="D23" t="s">
        <v>250</v>
      </c>
      <c r="E23">
        <v>0.349914045631886</v>
      </c>
      <c r="F23">
        <v>0.101323318907054</v>
      </c>
      <c r="G23">
        <v>0</v>
      </c>
      <c r="H23" s="8" t="s">
        <v>229</v>
      </c>
      <c r="I23" s="8" t="s">
        <v>251</v>
      </c>
      <c r="J23" s="8" t="s">
        <v>252</v>
      </c>
      <c r="K23" s="8" t="s">
        <v>253</v>
      </c>
      <c r="L23" s="8" t="s">
        <v>254</v>
      </c>
      <c r="M23" s="8" t="s">
        <v>234</v>
      </c>
    </row>
    <row r="24" ht="105.6" customHeight="1" spans="1:13">
      <c r="A24">
        <v>23</v>
      </c>
      <c r="B24">
        <v>281</v>
      </c>
      <c r="C24">
        <v>282</v>
      </c>
      <c r="D24" t="s">
        <v>255</v>
      </c>
      <c r="E24">
        <v>0.28975914567709</v>
      </c>
      <c r="F24">
        <v>0.0607945582987659</v>
      </c>
      <c r="G24">
        <v>0</v>
      </c>
      <c r="H24" s="8" t="s">
        <v>168</v>
      </c>
      <c r="I24" s="8" t="s">
        <v>256</v>
      </c>
      <c r="J24" s="8" t="s">
        <v>257</v>
      </c>
      <c r="K24" s="8" t="s">
        <v>258</v>
      </c>
      <c r="L24" s="8" t="s">
        <v>172</v>
      </c>
      <c r="M24" s="8" t="s">
        <v>173</v>
      </c>
    </row>
    <row r="25" ht="171.6" customHeight="1" spans="1:13">
      <c r="A25">
        <v>24</v>
      </c>
      <c r="B25">
        <v>159</v>
      </c>
      <c r="C25">
        <v>160</v>
      </c>
      <c r="D25" t="s">
        <v>259</v>
      </c>
      <c r="E25">
        <v>0.28888014703989</v>
      </c>
      <c r="F25">
        <v>0.0707525030799261</v>
      </c>
      <c r="G25">
        <v>0</v>
      </c>
      <c r="H25" s="8" t="s">
        <v>168</v>
      </c>
      <c r="I25" s="8" t="s">
        <v>260</v>
      </c>
      <c r="J25" s="8" t="s">
        <v>261</v>
      </c>
      <c r="K25" s="8" t="s">
        <v>262</v>
      </c>
      <c r="L25" s="8" t="s">
        <v>172</v>
      </c>
      <c r="M25" s="8" t="s">
        <v>173</v>
      </c>
    </row>
    <row r="26" ht="92.4" customHeight="1" spans="1:13">
      <c r="A26">
        <v>25</v>
      </c>
      <c r="B26">
        <v>100</v>
      </c>
      <c r="C26">
        <v>101</v>
      </c>
      <c r="D26" t="s">
        <v>263</v>
      </c>
      <c r="E26">
        <v>0.276354717463255</v>
      </c>
      <c r="F26">
        <v>0.106309466741274</v>
      </c>
      <c r="G26">
        <v>0</v>
      </c>
      <c r="H26" s="8" t="s">
        <v>229</v>
      </c>
      <c r="I26" s="8" t="s">
        <v>264</v>
      </c>
      <c r="J26" s="8" t="s">
        <v>265</v>
      </c>
      <c r="K26" s="8" t="s">
        <v>266</v>
      </c>
      <c r="L26" s="8" t="s">
        <v>267</v>
      </c>
      <c r="M26" s="8" t="s">
        <v>234</v>
      </c>
    </row>
    <row r="27" ht="171.6" customHeight="1" spans="1:13">
      <c r="A27">
        <v>26</v>
      </c>
      <c r="B27">
        <v>59</v>
      </c>
      <c r="C27">
        <v>60</v>
      </c>
      <c r="D27" t="s">
        <v>268</v>
      </c>
      <c r="E27">
        <v>0.252042049914598</v>
      </c>
      <c r="F27">
        <v>0.0961675166486302</v>
      </c>
      <c r="G27">
        <v>0</v>
      </c>
      <c r="H27" s="8" t="s">
        <v>229</v>
      </c>
      <c r="I27" s="8" t="s">
        <v>269</v>
      </c>
      <c r="J27" s="8" t="s">
        <v>270</v>
      </c>
      <c r="K27" s="8" t="s">
        <v>271</v>
      </c>
      <c r="L27" s="8" t="s">
        <v>272</v>
      </c>
      <c r="M27" s="8" t="s">
        <v>234</v>
      </c>
    </row>
    <row r="28" ht="105.6" customHeight="1" spans="1:13">
      <c r="A28">
        <v>27</v>
      </c>
      <c r="B28">
        <v>2</v>
      </c>
      <c r="C28">
        <v>3</v>
      </c>
      <c r="D28" t="s">
        <v>273</v>
      </c>
      <c r="E28">
        <v>0.250541178882122</v>
      </c>
      <c r="F28">
        <v>0.0712057405904588</v>
      </c>
      <c r="G28">
        <v>0</v>
      </c>
      <c r="H28" s="8" t="s">
        <v>168</v>
      </c>
      <c r="I28" s="8" t="s">
        <v>274</v>
      </c>
      <c r="J28" s="8" t="s">
        <v>275</v>
      </c>
      <c r="K28" s="8" t="s">
        <v>195</v>
      </c>
      <c r="L28" s="8" t="s">
        <v>172</v>
      </c>
      <c r="M28" s="8" t="s">
        <v>173</v>
      </c>
    </row>
    <row r="29" ht="92.4" customHeight="1" spans="1:13">
      <c r="A29">
        <v>28</v>
      </c>
      <c r="B29">
        <v>153</v>
      </c>
      <c r="C29">
        <v>154</v>
      </c>
      <c r="D29" t="s">
        <v>276</v>
      </c>
      <c r="E29">
        <v>0.249574057757854</v>
      </c>
      <c r="F29">
        <v>0.0838453430383137</v>
      </c>
      <c r="G29">
        <v>0</v>
      </c>
      <c r="H29" s="8" t="s">
        <v>168</v>
      </c>
      <c r="I29" s="8" t="s">
        <v>277</v>
      </c>
      <c r="J29" s="8" t="s">
        <v>278</v>
      </c>
      <c r="K29" s="8" t="s">
        <v>279</v>
      </c>
      <c r="L29" s="8" t="s">
        <v>172</v>
      </c>
      <c r="M29" s="8" t="s">
        <v>173</v>
      </c>
    </row>
    <row r="30" ht="211.2" customHeight="1" spans="1:13">
      <c r="A30">
        <v>29</v>
      </c>
      <c r="B30">
        <v>161</v>
      </c>
      <c r="C30">
        <v>162</v>
      </c>
      <c r="D30" t="s">
        <v>280</v>
      </c>
      <c r="E30">
        <v>0.239857392013073</v>
      </c>
      <c r="F30">
        <v>0.0866376135706857</v>
      </c>
      <c r="G30">
        <v>0</v>
      </c>
      <c r="H30" s="8" t="s">
        <v>229</v>
      </c>
      <c r="I30" s="8" t="s">
        <v>281</v>
      </c>
      <c r="J30" s="8" t="s">
        <v>282</v>
      </c>
      <c r="K30" s="8" t="s">
        <v>189</v>
      </c>
      <c r="L30" s="8" t="s">
        <v>283</v>
      </c>
      <c r="M30" s="8" t="s">
        <v>234</v>
      </c>
    </row>
    <row r="31" ht="211.2" customHeight="1" spans="1:13">
      <c r="A31">
        <v>30</v>
      </c>
      <c r="B31">
        <v>178</v>
      </c>
      <c r="C31">
        <v>179</v>
      </c>
      <c r="D31" t="s">
        <v>284</v>
      </c>
      <c r="E31">
        <v>0.221388323605061</v>
      </c>
      <c r="F31">
        <v>0.0660288403024403</v>
      </c>
      <c r="G31">
        <v>0</v>
      </c>
      <c r="H31" s="8" t="s">
        <v>229</v>
      </c>
      <c r="I31" s="8" t="s">
        <v>285</v>
      </c>
      <c r="J31" s="8" t="s">
        <v>286</v>
      </c>
      <c r="K31" s="8" t="s">
        <v>287</v>
      </c>
      <c r="L31" s="8" t="s">
        <v>288</v>
      </c>
      <c r="M31" s="8" t="s">
        <v>234</v>
      </c>
    </row>
    <row r="32" ht="158.4" customHeight="1" spans="1:13">
      <c r="A32">
        <v>31</v>
      </c>
      <c r="B32">
        <v>250</v>
      </c>
      <c r="C32">
        <v>251</v>
      </c>
      <c r="D32" t="s">
        <v>289</v>
      </c>
      <c r="E32">
        <v>0.221388314664364</v>
      </c>
      <c r="F32">
        <v>0.066028820171303</v>
      </c>
      <c r="G32">
        <v>0</v>
      </c>
      <c r="H32" s="8" t="s">
        <v>240</v>
      </c>
      <c r="I32" s="8" t="s">
        <v>290</v>
      </c>
      <c r="J32" s="8" t="s">
        <v>291</v>
      </c>
      <c r="K32" s="8" t="s">
        <v>290</v>
      </c>
      <c r="L32" s="8" t="s">
        <v>292</v>
      </c>
      <c r="M32" s="8" t="s">
        <v>245</v>
      </c>
    </row>
    <row r="33" ht="171.6" customHeight="1" spans="1:13">
      <c r="A33">
        <v>32</v>
      </c>
      <c r="B33">
        <v>134</v>
      </c>
      <c r="C33">
        <v>135</v>
      </c>
      <c r="D33" t="s">
        <v>293</v>
      </c>
      <c r="E33">
        <v>0.221388308703899</v>
      </c>
      <c r="F33">
        <v>0.0660288374893745</v>
      </c>
      <c r="G33">
        <v>0</v>
      </c>
      <c r="H33" s="8" t="s">
        <v>240</v>
      </c>
      <c r="I33" s="8" t="s">
        <v>294</v>
      </c>
      <c r="J33" s="8" t="s">
        <v>295</v>
      </c>
      <c r="K33" s="8" t="s">
        <v>296</v>
      </c>
      <c r="L33" s="8" t="s">
        <v>297</v>
      </c>
      <c r="M33" s="8" t="s">
        <v>245</v>
      </c>
    </row>
    <row r="34" ht="132" customHeight="1" spans="1:13">
      <c r="A34">
        <v>33</v>
      </c>
      <c r="B34">
        <v>135</v>
      </c>
      <c r="C34">
        <v>136</v>
      </c>
      <c r="D34" t="s">
        <v>298</v>
      </c>
      <c r="E34">
        <v>0.221388308703899</v>
      </c>
      <c r="F34">
        <v>0.0660288374893745</v>
      </c>
      <c r="G34">
        <v>0</v>
      </c>
      <c r="H34" s="8" t="s">
        <v>240</v>
      </c>
      <c r="I34" s="8" t="s">
        <v>290</v>
      </c>
      <c r="J34" s="8" t="s">
        <v>299</v>
      </c>
      <c r="K34" s="8" t="s">
        <v>290</v>
      </c>
      <c r="L34" s="8" t="s">
        <v>292</v>
      </c>
      <c r="M34" s="8" t="s">
        <v>245</v>
      </c>
    </row>
    <row r="35" ht="92.4" customHeight="1" spans="1:13">
      <c r="A35">
        <v>34</v>
      </c>
      <c r="B35">
        <v>118</v>
      </c>
      <c r="C35">
        <v>119</v>
      </c>
      <c r="D35" t="s">
        <v>300</v>
      </c>
      <c r="E35">
        <v>0.221281011402607</v>
      </c>
      <c r="F35">
        <v>0.0869775854802114</v>
      </c>
      <c r="G35">
        <v>0</v>
      </c>
      <c r="H35" s="8" t="s">
        <v>229</v>
      </c>
      <c r="I35" s="8" t="s">
        <v>301</v>
      </c>
      <c r="J35" s="8" t="s">
        <v>302</v>
      </c>
      <c r="K35" s="8" t="s">
        <v>303</v>
      </c>
      <c r="L35" s="8" t="s">
        <v>267</v>
      </c>
      <c r="M35" s="8" t="s">
        <v>234</v>
      </c>
    </row>
    <row r="36" ht="92.4" customHeight="1" spans="1:13">
      <c r="A36">
        <v>35</v>
      </c>
      <c r="B36">
        <v>226</v>
      </c>
      <c r="C36">
        <v>227</v>
      </c>
      <c r="D36" t="s">
        <v>304</v>
      </c>
      <c r="E36">
        <v>0.214935581386089</v>
      </c>
      <c r="F36">
        <v>0.085057538766275</v>
      </c>
      <c r="G36">
        <v>0</v>
      </c>
      <c r="H36" s="8" t="s">
        <v>168</v>
      </c>
      <c r="I36" s="8" t="s">
        <v>305</v>
      </c>
      <c r="J36" s="8" t="s">
        <v>306</v>
      </c>
      <c r="K36" s="8" t="s">
        <v>307</v>
      </c>
      <c r="L36" s="8" t="s">
        <v>172</v>
      </c>
      <c r="M36" s="8" t="s">
        <v>173</v>
      </c>
    </row>
    <row r="37" ht="105.6" customHeight="1" spans="1:13">
      <c r="A37">
        <v>36</v>
      </c>
      <c r="B37">
        <v>119</v>
      </c>
      <c r="C37">
        <v>120</v>
      </c>
      <c r="D37" t="s">
        <v>308</v>
      </c>
      <c r="E37">
        <v>0.212173416465521</v>
      </c>
      <c r="F37">
        <v>0.0873567683402843</v>
      </c>
      <c r="G37">
        <v>0</v>
      </c>
      <c r="H37" s="8" t="s">
        <v>168</v>
      </c>
      <c r="I37" s="8" t="s">
        <v>309</v>
      </c>
      <c r="J37" s="8" t="s">
        <v>310</v>
      </c>
      <c r="K37" s="8" t="s">
        <v>311</v>
      </c>
      <c r="L37" s="8" t="s">
        <v>172</v>
      </c>
      <c r="M37" s="8" t="s">
        <v>173</v>
      </c>
    </row>
    <row r="38" ht="79.2" customHeight="1" spans="1:13">
      <c r="A38">
        <v>37</v>
      </c>
      <c r="B38">
        <v>177</v>
      </c>
      <c r="C38">
        <v>178</v>
      </c>
      <c r="D38" t="s">
        <v>312</v>
      </c>
      <c r="E38">
        <v>0.208584044128656</v>
      </c>
      <c r="F38">
        <v>0.0894566346936564</v>
      </c>
      <c r="G38">
        <v>0</v>
      </c>
      <c r="H38" s="8" t="s">
        <v>168</v>
      </c>
      <c r="I38" s="8" t="s">
        <v>175</v>
      </c>
      <c r="J38" s="8" t="s">
        <v>313</v>
      </c>
      <c r="K38" s="8" t="s">
        <v>177</v>
      </c>
      <c r="L38" s="8" t="s">
        <v>172</v>
      </c>
      <c r="M38" s="8" t="s">
        <v>173</v>
      </c>
    </row>
    <row r="39" ht="145.2" customHeight="1" spans="1:13">
      <c r="A39">
        <v>38</v>
      </c>
      <c r="B39">
        <v>5</v>
      </c>
      <c r="C39">
        <v>6</v>
      </c>
      <c r="D39" t="s">
        <v>314</v>
      </c>
      <c r="E39">
        <v>0.198989283293486</v>
      </c>
      <c r="F39">
        <v>0.0618678951306882</v>
      </c>
      <c r="G39">
        <v>0</v>
      </c>
      <c r="H39" s="8" t="s">
        <v>168</v>
      </c>
      <c r="I39" s="8" t="s">
        <v>260</v>
      </c>
      <c r="J39" s="8" t="s">
        <v>315</v>
      </c>
      <c r="K39" s="8" t="s">
        <v>262</v>
      </c>
      <c r="L39" s="8" t="s">
        <v>172</v>
      </c>
      <c r="M39" s="8" t="s">
        <v>173</v>
      </c>
    </row>
    <row r="40" ht="158.4" customHeight="1" spans="1:13">
      <c r="A40">
        <v>39</v>
      </c>
      <c r="B40">
        <v>139</v>
      </c>
      <c r="C40">
        <v>140</v>
      </c>
      <c r="D40" t="s">
        <v>316</v>
      </c>
      <c r="E40">
        <v>0.198222105950117</v>
      </c>
      <c r="F40">
        <v>0.0499402544952039</v>
      </c>
      <c r="G40">
        <v>0</v>
      </c>
      <c r="H40" s="8" t="s">
        <v>229</v>
      </c>
      <c r="I40" s="8" t="s">
        <v>211</v>
      </c>
      <c r="J40" s="8" t="s">
        <v>317</v>
      </c>
      <c r="K40" s="8" t="s">
        <v>213</v>
      </c>
      <c r="L40" s="8" t="s">
        <v>318</v>
      </c>
      <c r="M40" s="8" t="s">
        <v>234</v>
      </c>
    </row>
    <row r="41" ht="118.8" customHeight="1" spans="1:13">
      <c r="A41">
        <v>40</v>
      </c>
      <c r="B41">
        <v>143</v>
      </c>
      <c r="C41">
        <v>144</v>
      </c>
      <c r="D41" t="s">
        <v>319</v>
      </c>
      <c r="E41">
        <v>0.198222105950117</v>
      </c>
      <c r="F41">
        <v>0.0499402556806799</v>
      </c>
      <c r="G41">
        <v>0</v>
      </c>
      <c r="H41" s="8" t="s">
        <v>229</v>
      </c>
      <c r="I41" s="8" t="s">
        <v>320</v>
      </c>
      <c r="J41" s="8" t="s">
        <v>321</v>
      </c>
      <c r="K41" s="8" t="s">
        <v>322</v>
      </c>
      <c r="L41" s="8" t="s">
        <v>323</v>
      </c>
      <c r="M41" s="8" t="s">
        <v>234</v>
      </c>
    </row>
    <row r="42" ht="105.6" customHeight="1" spans="1:13">
      <c r="A42">
        <v>41</v>
      </c>
      <c r="B42">
        <v>222</v>
      </c>
      <c r="C42">
        <v>223</v>
      </c>
      <c r="D42" t="s">
        <v>324</v>
      </c>
      <c r="E42">
        <v>0.189218793809414</v>
      </c>
      <c r="F42">
        <v>0.0599521453837336</v>
      </c>
      <c r="G42">
        <v>0</v>
      </c>
      <c r="H42" s="8" t="s">
        <v>168</v>
      </c>
      <c r="I42" s="8" t="s">
        <v>325</v>
      </c>
      <c r="J42" s="8" t="s">
        <v>326</v>
      </c>
      <c r="K42" s="8" t="s">
        <v>327</v>
      </c>
      <c r="L42" s="8" t="s">
        <v>172</v>
      </c>
      <c r="M42" s="8" t="s">
        <v>173</v>
      </c>
    </row>
    <row r="43" ht="171.6" customHeight="1" spans="1:13">
      <c r="A43">
        <v>42</v>
      </c>
      <c r="B43">
        <v>247</v>
      </c>
      <c r="C43">
        <v>248</v>
      </c>
      <c r="D43" t="s">
        <v>328</v>
      </c>
      <c r="E43">
        <v>0.189218790829182</v>
      </c>
      <c r="F43">
        <v>0.0599521518395838</v>
      </c>
      <c r="G43">
        <v>0</v>
      </c>
      <c r="H43" s="8" t="s">
        <v>229</v>
      </c>
      <c r="I43" s="8" t="s">
        <v>329</v>
      </c>
      <c r="J43" s="8" t="s">
        <v>330</v>
      </c>
      <c r="K43" s="8" t="s">
        <v>331</v>
      </c>
      <c r="L43" s="8" t="s">
        <v>332</v>
      </c>
      <c r="M43" s="8" t="s">
        <v>234</v>
      </c>
    </row>
    <row r="44" ht="118.8" customHeight="1" spans="1:13">
      <c r="A44">
        <v>43</v>
      </c>
      <c r="B44">
        <v>229</v>
      </c>
      <c r="C44">
        <v>230</v>
      </c>
      <c r="D44" t="s">
        <v>333</v>
      </c>
      <c r="E44">
        <v>0.18725161626935</v>
      </c>
      <c r="F44">
        <v>0.0506251554432023</v>
      </c>
      <c r="G44">
        <v>0</v>
      </c>
      <c r="H44" s="8" t="s">
        <v>168</v>
      </c>
      <c r="I44" s="8" t="s">
        <v>274</v>
      </c>
      <c r="J44" s="8" t="s">
        <v>334</v>
      </c>
      <c r="K44" s="8" t="s">
        <v>195</v>
      </c>
      <c r="L44" s="8" t="s">
        <v>172</v>
      </c>
      <c r="M44" s="8" t="s">
        <v>173</v>
      </c>
    </row>
    <row r="45" ht="158.4" customHeight="1" spans="1:13">
      <c r="A45">
        <v>44</v>
      </c>
      <c r="B45">
        <v>228</v>
      </c>
      <c r="C45">
        <v>229</v>
      </c>
      <c r="D45" t="s">
        <v>335</v>
      </c>
      <c r="E45">
        <v>0.18725161626935</v>
      </c>
      <c r="F45">
        <v>0.0506251554432023</v>
      </c>
      <c r="G45">
        <v>0</v>
      </c>
      <c r="H45" s="8" t="s">
        <v>229</v>
      </c>
      <c r="I45" s="8" t="s">
        <v>336</v>
      </c>
      <c r="J45" s="8" t="s">
        <v>337</v>
      </c>
      <c r="K45" s="8" t="s">
        <v>195</v>
      </c>
      <c r="L45" s="8" t="s">
        <v>338</v>
      </c>
      <c r="M45" s="8" t="s">
        <v>234</v>
      </c>
    </row>
    <row r="46" ht="92.4" customHeight="1" spans="1:13">
      <c r="A46">
        <v>45</v>
      </c>
      <c r="B46">
        <v>233</v>
      </c>
      <c r="C46">
        <v>234</v>
      </c>
      <c r="D46" t="s">
        <v>339</v>
      </c>
      <c r="E46">
        <v>0.185020991414785</v>
      </c>
      <c r="F46">
        <v>0.0586778252765882</v>
      </c>
      <c r="G46">
        <v>0</v>
      </c>
      <c r="H46" s="8" t="s">
        <v>229</v>
      </c>
      <c r="I46" s="8" t="s">
        <v>340</v>
      </c>
      <c r="J46" s="8" t="s">
        <v>341</v>
      </c>
      <c r="K46" s="8" t="s">
        <v>342</v>
      </c>
      <c r="L46" s="8" t="s">
        <v>343</v>
      </c>
      <c r="M46" s="8" t="s">
        <v>234</v>
      </c>
    </row>
    <row r="47" ht="92.4" customHeight="1" spans="1:13">
      <c r="A47">
        <v>46</v>
      </c>
      <c r="B47">
        <v>190</v>
      </c>
      <c r="C47">
        <v>191</v>
      </c>
      <c r="D47" t="s">
        <v>344</v>
      </c>
      <c r="E47">
        <v>0.185020985454321</v>
      </c>
      <c r="F47">
        <v>0.0586778134511057</v>
      </c>
      <c r="G47">
        <v>0</v>
      </c>
      <c r="H47" s="8" t="s">
        <v>240</v>
      </c>
      <c r="I47" s="8" t="s">
        <v>290</v>
      </c>
      <c r="J47" s="8" t="s">
        <v>345</v>
      </c>
      <c r="K47" s="8" t="s">
        <v>290</v>
      </c>
      <c r="L47" s="8" t="s">
        <v>346</v>
      </c>
      <c r="M47" s="8" t="s">
        <v>245</v>
      </c>
    </row>
    <row r="48" ht="105.6" customHeight="1" spans="1:13">
      <c r="A48">
        <v>47</v>
      </c>
      <c r="B48">
        <v>194</v>
      </c>
      <c r="C48">
        <v>195</v>
      </c>
      <c r="D48" t="s">
        <v>347</v>
      </c>
      <c r="E48">
        <v>0.182828959822655</v>
      </c>
      <c r="F48">
        <v>0.0562886158768637</v>
      </c>
      <c r="G48">
        <v>0</v>
      </c>
      <c r="H48" s="8" t="s">
        <v>168</v>
      </c>
      <c r="I48" s="8" t="s">
        <v>348</v>
      </c>
      <c r="J48" s="8" t="s">
        <v>349</v>
      </c>
      <c r="K48" s="8" t="s">
        <v>350</v>
      </c>
      <c r="L48" s="8" t="s">
        <v>172</v>
      </c>
      <c r="M48" s="8" t="s">
        <v>173</v>
      </c>
    </row>
    <row r="49" ht="158.4" customHeight="1" spans="1:13">
      <c r="A49">
        <v>48</v>
      </c>
      <c r="B49">
        <v>142</v>
      </c>
      <c r="C49">
        <v>143</v>
      </c>
      <c r="D49" t="s">
        <v>351</v>
      </c>
      <c r="E49">
        <v>0.182828957587481</v>
      </c>
      <c r="F49">
        <v>0.0562886189940769</v>
      </c>
      <c r="G49">
        <v>0</v>
      </c>
      <c r="H49" s="8" t="s">
        <v>168</v>
      </c>
      <c r="I49" s="8" t="s">
        <v>320</v>
      </c>
      <c r="J49" s="8" t="s">
        <v>352</v>
      </c>
      <c r="K49" s="8" t="s">
        <v>322</v>
      </c>
      <c r="L49" s="8" t="s">
        <v>172</v>
      </c>
      <c r="M49" s="8" t="s">
        <v>173</v>
      </c>
    </row>
    <row r="50" ht="158.4" customHeight="1" spans="1:13">
      <c r="A50">
        <v>49</v>
      </c>
      <c r="B50">
        <v>256</v>
      </c>
      <c r="C50">
        <v>257</v>
      </c>
      <c r="D50" t="s">
        <v>353</v>
      </c>
      <c r="E50">
        <v>0.180628487467766</v>
      </c>
      <c r="F50">
        <v>0.0538099976573605</v>
      </c>
      <c r="G50">
        <v>0</v>
      </c>
      <c r="H50" s="8" t="s">
        <v>229</v>
      </c>
      <c r="I50" s="8" t="s">
        <v>354</v>
      </c>
      <c r="J50" s="8" t="s">
        <v>355</v>
      </c>
      <c r="K50" s="8" t="s">
        <v>356</v>
      </c>
      <c r="L50" s="8" t="s">
        <v>357</v>
      </c>
      <c r="M50" s="8" t="s">
        <v>234</v>
      </c>
    </row>
    <row r="51" ht="79.2" customHeight="1" spans="1:13">
      <c r="A51">
        <v>50</v>
      </c>
      <c r="B51">
        <v>128</v>
      </c>
      <c r="C51">
        <v>129</v>
      </c>
      <c r="D51" t="s">
        <v>358</v>
      </c>
      <c r="E51">
        <v>0.180628477036953</v>
      </c>
      <c r="F51">
        <v>0.0538100050276812</v>
      </c>
      <c r="G51">
        <v>0</v>
      </c>
      <c r="H51" s="8" t="s">
        <v>240</v>
      </c>
      <c r="I51" s="8" t="s">
        <v>290</v>
      </c>
      <c r="J51" s="8" t="s">
        <v>359</v>
      </c>
      <c r="K51" s="8" t="s">
        <v>290</v>
      </c>
      <c r="L51" s="8" t="s">
        <v>346</v>
      </c>
      <c r="M51" s="8" t="s">
        <v>245</v>
      </c>
    </row>
  </sheetData>
  <conditionalFormatting sqref="H2:H51">
    <cfRule type="expression" dxfId="0" priority="1">
      <formula>LEFT(H2,9)="Confirmed"</formula>
    </cfRule>
    <cfRule type="expression" dxfId="1" priority="2">
      <formula>LEFT(H2,9)="Supported"</formula>
    </cfRule>
    <cfRule type="expression" dxfId="2" priority="3">
      <formula>LEFT(H2,6)="GATMDA"</formula>
    </cfRule>
    <cfRule type="expression" dxfId="3" priority="4">
      <formula>LEFT(H2,7)="Pending"</formula>
    </cfRule>
  </conditionalFormatting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93"/>
  <sheetViews>
    <sheetView workbookViewId="0">
      <selection activeCell="A1" sqref="A1"/>
    </sheetView>
  </sheetViews>
  <sheetFormatPr defaultColWidth="9" defaultRowHeight="16.8"/>
  <cols>
    <col min="1" max="1" width="8" customWidth="1"/>
    <col min="2" max="2" width="18" customWidth="1"/>
    <col min="3" max="3" width="12" customWidth="1"/>
    <col min="4" max="4" width="28" customWidth="1"/>
    <col min="5" max="6" width="14" customWidth="1"/>
    <col min="7" max="7" width="20" customWidth="1"/>
    <col min="8" max="8" width="34" customWidth="1"/>
    <col min="9" max="9" width="30" customWidth="1"/>
    <col min="10" max="10" width="62" customWidth="1"/>
    <col min="11" max="11" width="38" customWidth="1"/>
    <col min="12" max="12" width="34" customWidth="1"/>
    <col min="13" max="13" width="18" customWidth="1"/>
  </cols>
  <sheetData>
    <row r="1" ht="52.8" customHeight="1" spans="1:13">
      <c r="A1" s="11" t="s">
        <v>154</v>
      </c>
      <c r="B1" s="11" t="s">
        <v>155</v>
      </c>
      <c r="C1" s="11" t="s">
        <v>156</v>
      </c>
      <c r="D1" s="11" t="s">
        <v>157</v>
      </c>
      <c r="E1" s="11" t="s">
        <v>158</v>
      </c>
      <c r="F1" s="11" t="s">
        <v>159</v>
      </c>
      <c r="G1" s="11" t="s">
        <v>160</v>
      </c>
      <c r="H1" s="11" t="s">
        <v>161</v>
      </c>
      <c r="I1" s="11" t="s">
        <v>162</v>
      </c>
      <c r="J1" s="11" t="s">
        <v>163</v>
      </c>
      <c r="K1" s="11" t="s">
        <v>164</v>
      </c>
      <c r="L1" s="11" t="s">
        <v>165</v>
      </c>
      <c r="M1" s="11" t="s">
        <v>166</v>
      </c>
    </row>
    <row r="2" ht="66" customHeight="1" spans="1:13">
      <c r="A2">
        <v>1</v>
      </c>
      <c r="B2">
        <v>108</v>
      </c>
      <c r="C2">
        <v>109</v>
      </c>
      <c r="D2" t="s">
        <v>167</v>
      </c>
      <c r="E2">
        <v>0.666639459133148</v>
      </c>
      <c r="F2">
        <v>0.0408395323096564</v>
      </c>
      <c r="G2">
        <v>0</v>
      </c>
      <c r="H2" s="8" t="s">
        <v>168</v>
      </c>
      <c r="I2" s="8" t="s">
        <v>169</v>
      </c>
      <c r="J2" s="8" t="s">
        <v>170</v>
      </c>
      <c r="K2" s="8" t="s">
        <v>171</v>
      </c>
      <c r="L2" s="8" t="s">
        <v>172</v>
      </c>
      <c r="M2" s="8" t="s">
        <v>173</v>
      </c>
    </row>
    <row r="3" ht="118.8" customHeight="1" spans="1:13">
      <c r="A3">
        <v>2</v>
      </c>
      <c r="B3">
        <v>4</v>
      </c>
      <c r="C3">
        <v>5</v>
      </c>
      <c r="D3" t="s">
        <v>174</v>
      </c>
      <c r="E3">
        <v>0.664289206266403</v>
      </c>
      <c r="F3">
        <v>0.0359579072662</v>
      </c>
      <c r="G3">
        <v>0</v>
      </c>
      <c r="H3" s="8" t="s">
        <v>168</v>
      </c>
      <c r="I3" s="8" t="s">
        <v>175</v>
      </c>
      <c r="J3" s="8" t="s">
        <v>176</v>
      </c>
      <c r="K3" s="8" t="s">
        <v>177</v>
      </c>
      <c r="L3" s="8" t="s">
        <v>172</v>
      </c>
      <c r="M3" s="8" t="s">
        <v>173</v>
      </c>
    </row>
    <row r="4" ht="105.6" customHeight="1" spans="1:13">
      <c r="A4">
        <v>3</v>
      </c>
      <c r="B4">
        <v>106</v>
      </c>
      <c r="C4">
        <v>107</v>
      </c>
      <c r="D4" t="s">
        <v>178</v>
      </c>
      <c r="E4">
        <v>0.649316656589508</v>
      </c>
      <c r="F4">
        <v>0.0378249195973976</v>
      </c>
      <c r="G4">
        <v>0</v>
      </c>
      <c r="H4" s="8" t="s">
        <v>168</v>
      </c>
      <c r="I4" s="8" t="s">
        <v>179</v>
      </c>
      <c r="J4" s="8" t="s">
        <v>180</v>
      </c>
      <c r="K4" s="8" t="s">
        <v>181</v>
      </c>
      <c r="L4" s="8" t="s">
        <v>172</v>
      </c>
      <c r="M4" s="8" t="s">
        <v>173</v>
      </c>
    </row>
    <row r="5" ht="118.8" customHeight="1" spans="1:13">
      <c r="A5">
        <v>4</v>
      </c>
      <c r="B5">
        <v>154</v>
      </c>
      <c r="C5">
        <v>155</v>
      </c>
      <c r="D5" t="s">
        <v>182</v>
      </c>
      <c r="E5">
        <v>0.637649720907211</v>
      </c>
      <c r="F5">
        <v>0.0894005129883949</v>
      </c>
      <c r="G5">
        <v>0</v>
      </c>
      <c r="H5" s="8" t="s">
        <v>168</v>
      </c>
      <c r="I5" s="8" t="s">
        <v>183</v>
      </c>
      <c r="J5" s="8" t="s">
        <v>184</v>
      </c>
      <c r="K5" s="8" t="s">
        <v>185</v>
      </c>
      <c r="L5" s="8" t="s">
        <v>172</v>
      </c>
      <c r="M5" s="8" t="s">
        <v>173</v>
      </c>
    </row>
    <row r="6" ht="92.4" customHeight="1" spans="1:13">
      <c r="A6">
        <v>5</v>
      </c>
      <c r="B6">
        <v>230</v>
      </c>
      <c r="C6">
        <v>231</v>
      </c>
      <c r="D6" t="s">
        <v>186</v>
      </c>
      <c r="E6">
        <v>0.630685546994209</v>
      </c>
      <c r="F6">
        <v>0.0873911974570474</v>
      </c>
      <c r="G6">
        <v>1</v>
      </c>
      <c r="H6" s="8" t="s">
        <v>168</v>
      </c>
      <c r="I6" s="8" t="s">
        <v>187</v>
      </c>
      <c r="J6" s="8" t="s">
        <v>188</v>
      </c>
      <c r="K6" s="8" t="s">
        <v>189</v>
      </c>
      <c r="L6" s="8" t="s">
        <v>172</v>
      </c>
      <c r="M6" s="8" t="s">
        <v>173</v>
      </c>
    </row>
    <row r="7" ht="105.6" customHeight="1" spans="1:13">
      <c r="A7">
        <v>6</v>
      </c>
      <c r="B7">
        <v>60</v>
      </c>
      <c r="C7">
        <v>61</v>
      </c>
      <c r="D7" t="s">
        <v>190</v>
      </c>
      <c r="E7">
        <v>0.614434719085693</v>
      </c>
      <c r="F7">
        <v>0.0600426298157579</v>
      </c>
      <c r="G7">
        <v>1</v>
      </c>
      <c r="H7" s="8" t="s">
        <v>168</v>
      </c>
      <c r="I7" s="8" t="s">
        <v>183</v>
      </c>
      <c r="J7" s="8" t="s">
        <v>191</v>
      </c>
      <c r="K7" s="8" t="s">
        <v>185</v>
      </c>
      <c r="L7" s="8" t="s">
        <v>172</v>
      </c>
      <c r="M7" s="8" t="s">
        <v>173</v>
      </c>
    </row>
    <row r="8" ht="105.6" customHeight="1" spans="1:13">
      <c r="A8">
        <v>7</v>
      </c>
      <c r="B8">
        <v>224</v>
      </c>
      <c r="C8">
        <v>225</v>
      </c>
      <c r="D8" t="s">
        <v>192</v>
      </c>
      <c r="E8">
        <v>0.585452249646187</v>
      </c>
      <c r="F8">
        <v>0.0924534752403473</v>
      </c>
      <c r="G8">
        <v>1</v>
      </c>
      <c r="H8" s="8" t="s">
        <v>168</v>
      </c>
      <c r="I8" s="8" t="s">
        <v>193</v>
      </c>
      <c r="J8" s="8" t="s">
        <v>194</v>
      </c>
      <c r="K8" s="8" t="s">
        <v>195</v>
      </c>
      <c r="L8" s="8" t="s">
        <v>172</v>
      </c>
      <c r="M8" s="8" t="s">
        <v>173</v>
      </c>
    </row>
    <row r="9" ht="105.6" customHeight="1" spans="1:13">
      <c r="A9">
        <v>8</v>
      </c>
      <c r="B9">
        <v>168</v>
      </c>
      <c r="C9">
        <v>169</v>
      </c>
      <c r="D9" t="s">
        <v>196</v>
      </c>
      <c r="E9">
        <v>0.56569896042347</v>
      </c>
      <c r="F9">
        <v>0.0941033429792516</v>
      </c>
      <c r="G9">
        <v>1</v>
      </c>
      <c r="H9" s="8" t="s">
        <v>168</v>
      </c>
      <c r="I9" s="8" t="s">
        <v>197</v>
      </c>
      <c r="J9" s="8" t="s">
        <v>198</v>
      </c>
      <c r="K9" s="8" t="s">
        <v>199</v>
      </c>
      <c r="L9" s="8" t="s">
        <v>172</v>
      </c>
      <c r="M9" s="8" t="s">
        <v>173</v>
      </c>
    </row>
    <row r="10" ht="66" customHeight="1" spans="1:13">
      <c r="A10">
        <v>9</v>
      </c>
      <c r="B10">
        <v>255</v>
      </c>
      <c r="C10">
        <v>256</v>
      </c>
      <c r="D10" t="s">
        <v>200</v>
      </c>
      <c r="E10">
        <v>0.561235505342484</v>
      </c>
      <c r="F10">
        <v>0.0994028341757683</v>
      </c>
      <c r="G10">
        <v>0</v>
      </c>
      <c r="H10" s="8" t="s">
        <v>168</v>
      </c>
      <c r="I10" s="8" t="s">
        <v>201</v>
      </c>
      <c r="J10" s="8" t="s">
        <v>202</v>
      </c>
      <c r="K10" s="8" t="s">
        <v>203</v>
      </c>
      <c r="L10" s="8" t="s">
        <v>172</v>
      </c>
      <c r="M10" s="8" t="s">
        <v>173</v>
      </c>
    </row>
    <row r="11" ht="105.6" customHeight="1" spans="1:13">
      <c r="A11">
        <v>10</v>
      </c>
      <c r="B11">
        <v>93</v>
      </c>
      <c r="C11">
        <v>94</v>
      </c>
      <c r="D11" t="s">
        <v>204</v>
      </c>
      <c r="E11">
        <v>0.559702315926552</v>
      </c>
      <c r="F11">
        <v>0.0744042938839847</v>
      </c>
      <c r="G11">
        <v>0</v>
      </c>
      <c r="H11" s="8" t="s">
        <v>168</v>
      </c>
      <c r="I11" s="8" t="s">
        <v>205</v>
      </c>
      <c r="J11" s="8" t="s">
        <v>206</v>
      </c>
      <c r="K11" s="8" t="s">
        <v>207</v>
      </c>
      <c r="L11" s="8" t="s">
        <v>172</v>
      </c>
      <c r="M11" s="8" t="s">
        <v>173</v>
      </c>
    </row>
    <row r="12" ht="92.4" customHeight="1" spans="1:13">
      <c r="A12">
        <v>11</v>
      </c>
      <c r="B12">
        <v>181</v>
      </c>
      <c r="C12">
        <v>182</v>
      </c>
      <c r="D12" t="s">
        <v>208</v>
      </c>
      <c r="E12">
        <v>0.508966487646103</v>
      </c>
      <c r="F12">
        <v>0.095583995263494</v>
      </c>
      <c r="G12">
        <v>0</v>
      </c>
      <c r="H12" s="8" t="s">
        <v>168</v>
      </c>
      <c r="I12" s="8" t="s">
        <v>205</v>
      </c>
      <c r="J12" s="8" t="s">
        <v>209</v>
      </c>
      <c r="K12" s="8" t="s">
        <v>207</v>
      </c>
      <c r="L12" s="8" t="s">
        <v>172</v>
      </c>
      <c r="M12" s="8" t="s">
        <v>173</v>
      </c>
    </row>
    <row r="13" ht="105.6" customHeight="1" spans="1:13">
      <c r="A13">
        <v>12</v>
      </c>
      <c r="B13">
        <v>183</v>
      </c>
      <c r="C13">
        <v>184</v>
      </c>
      <c r="D13" t="s">
        <v>210</v>
      </c>
      <c r="E13">
        <v>0.500904589891434</v>
      </c>
      <c r="F13">
        <v>0.0965223684231681</v>
      </c>
      <c r="G13">
        <v>0</v>
      </c>
      <c r="H13" s="8" t="s">
        <v>168</v>
      </c>
      <c r="I13" s="8" t="s">
        <v>211</v>
      </c>
      <c r="J13" s="8" t="s">
        <v>212</v>
      </c>
      <c r="K13" s="8" t="s">
        <v>213</v>
      </c>
      <c r="L13" s="8" t="s">
        <v>172</v>
      </c>
      <c r="M13" s="8" t="s">
        <v>173</v>
      </c>
    </row>
    <row r="14" ht="92.4" customHeight="1" spans="1:13">
      <c r="A14">
        <v>13</v>
      </c>
      <c r="B14">
        <v>136</v>
      </c>
      <c r="C14">
        <v>137</v>
      </c>
      <c r="D14" t="s">
        <v>214</v>
      </c>
      <c r="E14">
        <v>0.471600890159607</v>
      </c>
      <c r="F14">
        <v>0.081205404125075</v>
      </c>
      <c r="G14">
        <v>0</v>
      </c>
      <c r="H14" s="8" t="s">
        <v>168</v>
      </c>
      <c r="I14" s="8" t="s">
        <v>187</v>
      </c>
      <c r="J14" s="8" t="s">
        <v>215</v>
      </c>
      <c r="K14" s="8" t="s">
        <v>189</v>
      </c>
      <c r="L14" s="8" t="s">
        <v>172</v>
      </c>
      <c r="M14" s="8" t="s">
        <v>173</v>
      </c>
    </row>
    <row r="15" ht="66" customHeight="1" spans="1:13">
      <c r="A15">
        <v>14</v>
      </c>
      <c r="B15">
        <v>110</v>
      </c>
      <c r="C15">
        <v>111</v>
      </c>
      <c r="D15" t="s">
        <v>216</v>
      </c>
      <c r="E15">
        <v>0.467915919423103</v>
      </c>
      <c r="F15">
        <v>0.105966500592868</v>
      </c>
      <c r="G15">
        <v>0</v>
      </c>
      <c r="H15" s="8" t="s">
        <v>168</v>
      </c>
      <c r="I15" s="8" t="s">
        <v>217</v>
      </c>
      <c r="J15" s="8" t="s">
        <v>218</v>
      </c>
      <c r="K15" s="8" t="s">
        <v>219</v>
      </c>
      <c r="L15" s="8" t="s">
        <v>172</v>
      </c>
      <c r="M15" s="8" t="s">
        <v>173</v>
      </c>
    </row>
    <row r="16" ht="92.4" customHeight="1" spans="1:13">
      <c r="A16">
        <v>15</v>
      </c>
      <c r="B16">
        <v>260</v>
      </c>
      <c r="C16">
        <v>261</v>
      </c>
      <c r="D16" t="s">
        <v>220</v>
      </c>
      <c r="E16">
        <v>0.446051704883575</v>
      </c>
      <c r="F16">
        <v>0.0767010398049791</v>
      </c>
      <c r="G16">
        <v>0</v>
      </c>
      <c r="H16" s="8" t="s">
        <v>168</v>
      </c>
      <c r="I16" s="8" t="s">
        <v>221</v>
      </c>
      <c r="J16" s="8" t="s">
        <v>222</v>
      </c>
      <c r="K16" s="8" t="s">
        <v>223</v>
      </c>
      <c r="L16" s="8" t="s">
        <v>172</v>
      </c>
      <c r="M16" s="8" t="s">
        <v>173</v>
      </c>
    </row>
    <row r="17" ht="92.4" customHeight="1" spans="1:13">
      <c r="A17">
        <v>16</v>
      </c>
      <c r="B17">
        <v>254</v>
      </c>
      <c r="C17">
        <v>255</v>
      </c>
      <c r="D17" t="s">
        <v>224</v>
      </c>
      <c r="E17">
        <v>0.42545902132988</v>
      </c>
      <c r="F17">
        <v>0.0865995965979932</v>
      </c>
      <c r="G17">
        <v>1</v>
      </c>
      <c r="H17" s="8" t="s">
        <v>168</v>
      </c>
      <c r="I17" s="8" t="s">
        <v>225</v>
      </c>
      <c r="J17" s="8" t="s">
        <v>226</v>
      </c>
      <c r="K17" s="8" t="s">
        <v>227</v>
      </c>
      <c r="L17" s="8" t="s">
        <v>172</v>
      </c>
      <c r="M17" s="8" t="s">
        <v>173</v>
      </c>
    </row>
    <row r="18" ht="158.4" customHeight="1" spans="1:13">
      <c r="A18">
        <v>17</v>
      </c>
      <c r="B18">
        <v>68</v>
      </c>
      <c r="C18">
        <v>69</v>
      </c>
      <c r="D18" t="s">
        <v>228</v>
      </c>
      <c r="E18">
        <v>0.420275083184242</v>
      </c>
      <c r="F18">
        <v>0.0845021716354824</v>
      </c>
      <c r="G18">
        <v>0</v>
      </c>
      <c r="H18" s="8" t="s">
        <v>229</v>
      </c>
      <c r="I18" s="8" t="s">
        <v>230</v>
      </c>
      <c r="J18" s="8" t="s">
        <v>231</v>
      </c>
      <c r="K18" s="8" t="s">
        <v>232</v>
      </c>
      <c r="L18" s="8" t="s">
        <v>233</v>
      </c>
      <c r="M18" s="8" t="s">
        <v>234</v>
      </c>
    </row>
    <row r="19" ht="92.4" customHeight="1" spans="1:13">
      <c r="A19">
        <v>18</v>
      </c>
      <c r="B19">
        <v>137</v>
      </c>
      <c r="C19">
        <v>138</v>
      </c>
      <c r="D19" t="s">
        <v>235</v>
      </c>
      <c r="E19">
        <v>0.409371866285801</v>
      </c>
      <c r="F19">
        <v>0.0913261845496241</v>
      </c>
      <c r="G19">
        <v>0</v>
      </c>
      <c r="H19" s="8" t="s">
        <v>168</v>
      </c>
      <c r="I19" s="8" t="s">
        <v>211</v>
      </c>
      <c r="J19" s="8" t="s">
        <v>236</v>
      </c>
      <c r="K19" s="8" t="s">
        <v>213</v>
      </c>
      <c r="L19" s="8" t="s">
        <v>172</v>
      </c>
      <c r="M19" s="8" t="s">
        <v>173</v>
      </c>
    </row>
    <row r="20" ht="105.6" customHeight="1" spans="1:13">
      <c r="A20">
        <v>19</v>
      </c>
      <c r="B20">
        <v>165</v>
      </c>
      <c r="C20">
        <v>166</v>
      </c>
      <c r="D20" t="s">
        <v>237</v>
      </c>
      <c r="E20">
        <v>0.398884302377701</v>
      </c>
      <c r="F20">
        <v>0.0784089827253931</v>
      </c>
      <c r="G20">
        <v>1</v>
      </c>
      <c r="H20" s="8" t="s">
        <v>168</v>
      </c>
      <c r="I20" s="8" t="s">
        <v>221</v>
      </c>
      <c r="J20" s="8" t="s">
        <v>238</v>
      </c>
      <c r="K20" s="8" t="s">
        <v>223</v>
      </c>
      <c r="L20" s="8" t="s">
        <v>172</v>
      </c>
      <c r="M20" s="8" t="s">
        <v>173</v>
      </c>
    </row>
    <row r="21" ht="171.6" customHeight="1" spans="1:13">
      <c r="A21">
        <v>20</v>
      </c>
      <c r="B21">
        <v>145</v>
      </c>
      <c r="C21">
        <v>146</v>
      </c>
      <c r="D21" t="s">
        <v>239</v>
      </c>
      <c r="E21">
        <v>0.385618928074837</v>
      </c>
      <c r="F21">
        <v>0.0770797794160443</v>
      </c>
      <c r="G21">
        <v>0</v>
      </c>
      <c r="H21" s="8" t="s">
        <v>240</v>
      </c>
      <c r="I21" s="8" t="s">
        <v>241</v>
      </c>
      <c r="J21" s="8" t="s">
        <v>242</v>
      </c>
      <c r="K21" s="8" t="s">
        <v>243</v>
      </c>
      <c r="L21" s="8" t="s">
        <v>244</v>
      </c>
      <c r="M21" s="8" t="s">
        <v>245</v>
      </c>
    </row>
    <row r="22" ht="158.4" customHeight="1" spans="1:13">
      <c r="A22">
        <v>21</v>
      </c>
      <c r="B22">
        <v>105</v>
      </c>
      <c r="C22">
        <v>106</v>
      </c>
      <c r="D22" t="s">
        <v>246</v>
      </c>
      <c r="E22">
        <v>0.352956630289555</v>
      </c>
      <c r="F22">
        <v>0.120089822690057</v>
      </c>
      <c r="G22">
        <v>0</v>
      </c>
      <c r="H22" s="8" t="s">
        <v>229</v>
      </c>
      <c r="I22" s="8" t="s">
        <v>247</v>
      </c>
      <c r="J22" s="8" t="s">
        <v>248</v>
      </c>
      <c r="K22" s="8" t="s">
        <v>207</v>
      </c>
      <c r="L22" s="8" t="s">
        <v>249</v>
      </c>
      <c r="M22" s="8" t="s">
        <v>234</v>
      </c>
    </row>
    <row r="23" ht="145.2" customHeight="1" spans="1:13">
      <c r="A23">
        <v>22</v>
      </c>
      <c r="B23">
        <v>257</v>
      </c>
      <c r="C23">
        <v>258</v>
      </c>
      <c r="D23" t="s">
        <v>250</v>
      </c>
      <c r="E23">
        <v>0.349914045631886</v>
      </c>
      <c r="F23">
        <v>0.101323318907054</v>
      </c>
      <c r="G23">
        <v>0</v>
      </c>
      <c r="H23" s="8" t="s">
        <v>229</v>
      </c>
      <c r="I23" s="8" t="s">
        <v>251</v>
      </c>
      <c r="J23" s="8" t="s">
        <v>252</v>
      </c>
      <c r="K23" s="8" t="s">
        <v>253</v>
      </c>
      <c r="L23" s="8" t="s">
        <v>254</v>
      </c>
      <c r="M23" s="8" t="s">
        <v>234</v>
      </c>
    </row>
    <row r="24" ht="105.6" customHeight="1" spans="1:13">
      <c r="A24">
        <v>23</v>
      </c>
      <c r="B24">
        <v>281</v>
      </c>
      <c r="C24">
        <v>282</v>
      </c>
      <c r="D24" t="s">
        <v>255</v>
      </c>
      <c r="E24">
        <v>0.28975914567709</v>
      </c>
      <c r="F24">
        <v>0.0607945582987659</v>
      </c>
      <c r="G24">
        <v>0</v>
      </c>
      <c r="H24" s="8" t="s">
        <v>168</v>
      </c>
      <c r="I24" s="8" t="s">
        <v>256</v>
      </c>
      <c r="J24" s="8" t="s">
        <v>257</v>
      </c>
      <c r="K24" s="8" t="s">
        <v>258</v>
      </c>
      <c r="L24" s="8" t="s">
        <v>172</v>
      </c>
      <c r="M24" s="8" t="s">
        <v>173</v>
      </c>
    </row>
    <row r="25" ht="171.6" customHeight="1" spans="1:13">
      <c r="A25">
        <v>24</v>
      </c>
      <c r="B25">
        <v>159</v>
      </c>
      <c r="C25">
        <v>160</v>
      </c>
      <c r="D25" t="s">
        <v>259</v>
      </c>
      <c r="E25">
        <v>0.28888014703989</v>
      </c>
      <c r="F25">
        <v>0.0707525030799261</v>
      </c>
      <c r="G25">
        <v>0</v>
      </c>
      <c r="H25" s="8" t="s">
        <v>168</v>
      </c>
      <c r="I25" s="8" t="s">
        <v>260</v>
      </c>
      <c r="J25" s="8" t="s">
        <v>261</v>
      </c>
      <c r="K25" s="8" t="s">
        <v>262</v>
      </c>
      <c r="L25" s="8" t="s">
        <v>172</v>
      </c>
      <c r="M25" s="8" t="s">
        <v>173</v>
      </c>
    </row>
    <row r="26" ht="92.4" customHeight="1" spans="1:13">
      <c r="A26">
        <v>25</v>
      </c>
      <c r="B26">
        <v>100</v>
      </c>
      <c r="C26">
        <v>101</v>
      </c>
      <c r="D26" t="s">
        <v>263</v>
      </c>
      <c r="E26">
        <v>0.276354717463255</v>
      </c>
      <c r="F26">
        <v>0.106309466741274</v>
      </c>
      <c r="G26">
        <v>0</v>
      </c>
      <c r="H26" s="8" t="s">
        <v>229</v>
      </c>
      <c r="I26" s="8" t="s">
        <v>264</v>
      </c>
      <c r="J26" s="8" t="s">
        <v>265</v>
      </c>
      <c r="K26" s="8" t="s">
        <v>266</v>
      </c>
      <c r="L26" s="8" t="s">
        <v>267</v>
      </c>
      <c r="M26" s="8" t="s">
        <v>234</v>
      </c>
    </row>
    <row r="27" ht="171.6" customHeight="1" spans="1:13">
      <c r="A27">
        <v>26</v>
      </c>
      <c r="B27">
        <v>59</v>
      </c>
      <c r="C27">
        <v>60</v>
      </c>
      <c r="D27" t="s">
        <v>268</v>
      </c>
      <c r="E27">
        <v>0.252042049914598</v>
      </c>
      <c r="F27">
        <v>0.0961675166486302</v>
      </c>
      <c r="G27">
        <v>0</v>
      </c>
      <c r="H27" s="8" t="s">
        <v>229</v>
      </c>
      <c r="I27" s="8" t="s">
        <v>269</v>
      </c>
      <c r="J27" s="8" t="s">
        <v>270</v>
      </c>
      <c r="K27" s="8" t="s">
        <v>271</v>
      </c>
      <c r="L27" s="8" t="s">
        <v>272</v>
      </c>
      <c r="M27" s="8" t="s">
        <v>234</v>
      </c>
    </row>
    <row r="28" ht="105.6" customHeight="1" spans="1:13">
      <c r="A28">
        <v>27</v>
      </c>
      <c r="B28">
        <v>2</v>
      </c>
      <c r="C28">
        <v>3</v>
      </c>
      <c r="D28" t="s">
        <v>273</v>
      </c>
      <c r="E28">
        <v>0.250541178882122</v>
      </c>
      <c r="F28">
        <v>0.0712057405904588</v>
      </c>
      <c r="G28">
        <v>0</v>
      </c>
      <c r="H28" s="8" t="s">
        <v>168</v>
      </c>
      <c r="I28" s="8" t="s">
        <v>274</v>
      </c>
      <c r="J28" s="8" t="s">
        <v>275</v>
      </c>
      <c r="K28" s="8" t="s">
        <v>195</v>
      </c>
      <c r="L28" s="8" t="s">
        <v>172</v>
      </c>
      <c r="M28" s="8" t="s">
        <v>173</v>
      </c>
    </row>
    <row r="29" ht="92.4" customHeight="1" spans="1:13">
      <c r="A29">
        <v>28</v>
      </c>
      <c r="B29">
        <v>153</v>
      </c>
      <c r="C29">
        <v>154</v>
      </c>
      <c r="D29" t="s">
        <v>276</v>
      </c>
      <c r="E29">
        <v>0.249574057757854</v>
      </c>
      <c r="F29">
        <v>0.0838453430383137</v>
      </c>
      <c r="G29">
        <v>0</v>
      </c>
      <c r="H29" s="8" t="s">
        <v>168</v>
      </c>
      <c r="I29" s="8" t="s">
        <v>277</v>
      </c>
      <c r="J29" s="8" t="s">
        <v>278</v>
      </c>
      <c r="K29" s="8" t="s">
        <v>279</v>
      </c>
      <c r="L29" s="8" t="s">
        <v>172</v>
      </c>
      <c r="M29" s="8" t="s">
        <v>173</v>
      </c>
    </row>
    <row r="30" ht="211.2" customHeight="1" spans="1:13">
      <c r="A30">
        <v>29</v>
      </c>
      <c r="B30">
        <v>161</v>
      </c>
      <c r="C30">
        <v>162</v>
      </c>
      <c r="D30" t="s">
        <v>280</v>
      </c>
      <c r="E30">
        <v>0.239857392013073</v>
      </c>
      <c r="F30">
        <v>0.0866376135706857</v>
      </c>
      <c r="G30">
        <v>0</v>
      </c>
      <c r="H30" s="8" t="s">
        <v>229</v>
      </c>
      <c r="I30" s="8" t="s">
        <v>281</v>
      </c>
      <c r="J30" s="8" t="s">
        <v>282</v>
      </c>
      <c r="K30" s="8" t="s">
        <v>189</v>
      </c>
      <c r="L30" s="8" t="s">
        <v>283</v>
      </c>
      <c r="M30" s="8" t="s">
        <v>234</v>
      </c>
    </row>
    <row r="31" ht="211.2" customHeight="1" spans="1:13">
      <c r="A31">
        <v>30</v>
      </c>
      <c r="B31">
        <v>178</v>
      </c>
      <c r="C31">
        <v>179</v>
      </c>
      <c r="D31" t="s">
        <v>284</v>
      </c>
      <c r="E31">
        <v>0.221388323605061</v>
      </c>
      <c r="F31">
        <v>0.0660288403024403</v>
      </c>
      <c r="G31">
        <v>0</v>
      </c>
      <c r="H31" s="8" t="s">
        <v>229</v>
      </c>
      <c r="I31" s="8" t="s">
        <v>285</v>
      </c>
      <c r="J31" s="8" t="s">
        <v>286</v>
      </c>
      <c r="K31" s="8" t="s">
        <v>287</v>
      </c>
      <c r="L31" s="8" t="s">
        <v>288</v>
      </c>
      <c r="M31" s="8" t="s">
        <v>234</v>
      </c>
    </row>
    <row r="32" ht="158.4" customHeight="1" spans="1:13">
      <c r="A32">
        <v>31</v>
      </c>
      <c r="B32">
        <v>250</v>
      </c>
      <c r="C32">
        <v>251</v>
      </c>
      <c r="D32" t="s">
        <v>289</v>
      </c>
      <c r="E32">
        <v>0.221388314664364</v>
      </c>
      <c r="F32">
        <v>0.066028820171303</v>
      </c>
      <c r="G32">
        <v>0</v>
      </c>
      <c r="H32" s="8" t="s">
        <v>240</v>
      </c>
      <c r="I32" s="8" t="s">
        <v>290</v>
      </c>
      <c r="J32" s="8" t="s">
        <v>291</v>
      </c>
      <c r="K32" s="8" t="s">
        <v>290</v>
      </c>
      <c r="L32" s="8" t="s">
        <v>292</v>
      </c>
      <c r="M32" s="8" t="s">
        <v>245</v>
      </c>
    </row>
    <row r="33" ht="171.6" customHeight="1" spans="1:13">
      <c r="A33">
        <v>32</v>
      </c>
      <c r="B33">
        <v>134</v>
      </c>
      <c r="C33">
        <v>135</v>
      </c>
      <c r="D33" t="s">
        <v>293</v>
      </c>
      <c r="E33">
        <v>0.221388308703899</v>
      </c>
      <c r="F33">
        <v>0.0660288374893745</v>
      </c>
      <c r="G33">
        <v>0</v>
      </c>
      <c r="H33" s="8" t="s">
        <v>240</v>
      </c>
      <c r="I33" s="8" t="s">
        <v>294</v>
      </c>
      <c r="J33" s="8" t="s">
        <v>295</v>
      </c>
      <c r="K33" s="8" t="s">
        <v>296</v>
      </c>
      <c r="L33" s="8" t="s">
        <v>297</v>
      </c>
      <c r="M33" s="8" t="s">
        <v>245</v>
      </c>
    </row>
    <row r="34" ht="132" customHeight="1" spans="1:13">
      <c r="A34">
        <v>33</v>
      </c>
      <c r="B34">
        <v>135</v>
      </c>
      <c r="C34">
        <v>136</v>
      </c>
      <c r="D34" t="s">
        <v>298</v>
      </c>
      <c r="E34">
        <v>0.221388308703899</v>
      </c>
      <c r="F34">
        <v>0.0660288374893745</v>
      </c>
      <c r="G34">
        <v>0</v>
      </c>
      <c r="H34" s="8" t="s">
        <v>240</v>
      </c>
      <c r="I34" s="8" t="s">
        <v>290</v>
      </c>
      <c r="J34" s="8" t="s">
        <v>299</v>
      </c>
      <c r="K34" s="8" t="s">
        <v>290</v>
      </c>
      <c r="L34" s="8" t="s">
        <v>292</v>
      </c>
      <c r="M34" s="8" t="s">
        <v>245</v>
      </c>
    </row>
    <row r="35" ht="92.4" customHeight="1" spans="1:13">
      <c r="A35">
        <v>34</v>
      </c>
      <c r="B35">
        <v>118</v>
      </c>
      <c r="C35">
        <v>119</v>
      </c>
      <c r="D35" t="s">
        <v>300</v>
      </c>
      <c r="E35">
        <v>0.221281011402607</v>
      </c>
      <c r="F35">
        <v>0.0869775854802114</v>
      </c>
      <c r="G35">
        <v>0</v>
      </c>
      <c r="H35" s="8" t="s">
        <v>229</v>
      </c>
      <c r="I35" s="8" t="s">
        <v>301</v>
      </c>
      <c r="J35" s="8" t="s">
        <v>302</v>
      </c>
      <c r="K35" s="8" t="s">
        <v>303</v>
      </c>
      <c r="L35" s="8" t="s">
        <v>267</v>
      </c>
      <c r="M35" s="8" t="s">
        <v>234</v>
      </c>
    </row>
    <row r="36" ht="92.4" customHeight="1" spans="1:13">
      <c r="A36">
        <v>35</v>
      </c>
      <c r="B36">
        <v>226</v>
      </c>
      <c r="C36">
        <v>227</v>
      </c>
      <c r="D36" t="s">
        <v>304</v>
      </c>
      <c r="E36">
        <v>0.214935581386089</v>
      </c>
      <c r="F36">
        <v>0.085057538766275</v>
      </c>
      <c r="G36">
        <v>0</v>
      </c>
      <c r="H36" s="8" t="s">
        <v>168</v>
      </c>
      <c r="I36" s="8" t="s">
        <v>305</v>
      </c>
      <c r="J36" s="8" t="s">
        <v>306</v>
      </c>
      <c r="K36" s="8" t="s">
        <v>307</v>
      </c>
      <c r="L36" s="8" t="s">
        <v>172</v>
      </c>
      <c r="M36" s="8" t="s">
        <v>173</v>
      </c>
    </row>
    <row r="37" ht="105.6" customHeight="1" spans="1:13">
      <c r="A37">
        <v>36</v>
      </c>
      <c r="B37">
        <v>119</v>
      </c>
      <c r="C37">
        <v>120</v>
      </c>
      <c r="D37" t="s">
        <v>308</v>
      </c>
      <c r="E37">
        <v>0.212173416465521</v>
      </c>
      <c r="F37">
        <v>0.0873567683402843</v>
      </c>
      <c r="G37">
        <v>0</v>
      </c>
      <c r="H37" s="8" t="s">
        <v>168</v>
      </c>
      <c r="I37" s="8" t="s">
        <v>309</v>
      </c>
      <c r="J37" s="8" t="s">
        <v>310</v>
      </c>
      <c r="K37" s="8" t="s">
        <v>311</v>
      </c>
      <c r="L37" s="8" t="s">
        <v>172</v>
      </c>
      <c r="M37" s="8" t="s">
        <v>173</v>
      </c>
    </row>
    <row r="38" ht="79.2" customHeight="1" spans="1:13">
      <c r="A38">
        <v>37</v>
      </c>
      <c r="B38">
        <v>177</v>
      </c>
      <c r="C38">
        <v>178</v>
      </c>
      <c r="D38" t="s">
        <v>312</v>
      </c>
      <c r="E38">
        <v>0.208584044128656</v>
      </c>
      <c r="F38">
        <v>0.0894566346936564</v>
      </c>
      <c r="G38">
        <v>0</v>
      </c>
      <c r="H38" s="8" t="s">
        <v>168</v>
      </c>
      <c r="I38" s="8" t="s">
        <v>175</v>
      </c>
      <c r="J38" s="8" t="s">
        <v>313</v>
      </c>
      <c r="K38" s="8" t="s">
        <v>177</v>
      </c>
      <c r="L38" s="8" t="s">
        <v>172</v>
      </c>
      <c r="M38" s="8" t="s">
        <v>173</v>
      </c>
    </row>
    <row r="39" ht="145.2" customHeight="1" spans="1:13">
      <c r="A39">
        <v>38</v>
      </c>
      <c r="B39">
        <v>5</v>
      </c>
      <c r="C39">
        <v>6</v>
      </c>
      <c r="D39" t="s">
        <v>314</v>
      </c>
      <c r="E39">
        <v>0.198989283293486</v>
      </c>
      <c r="F39">
        <v>0.0618678951306882</v>
      </c>
      <c r="G39">
        <v>0</v>
      </c>
      <c r="H39" s="8" t="s">
        <v>168</v>
      </c>
      <c r="I39" s="8" t="s">
        <v>260</v>
      </c>
      <c r="J39" s="8" t="s">
        <v>315</v>
      </c>
      <c r="K39" s="8" t="s">
        <v>262</v>
      </c>
      <c r="L39" s="8" t="s">
        <v>172</v>
      </c>
      <c r="M39" s="8" t="s">
        <v>173</v>
      </c>
    </row>
    <row r="40" ht="158.4" customHeight="1" spans="1:13">
      <c r="A40">
        <v>39</v>
      </c>
      <c r="B40">
        <v>139</v>
      </c>
      <c r="C40">
        <v>140</v>
      </c>
      <c r="D40" t="s">
        <v>316</v>
      </c>
      <c r="E40">
        <v>0.198222105950117</v>
      </c>
      <c r="F40">
        <v>0.0499402544952039</v>
      </c>
      <c r="G40">
        <v>0</v>
      </c>
      <c r="H40" s="8" t="s">
        <v>229</v>
      </c>
      <c r="I40" s="8" t="s">
        <v>211</v>
      </c>
      <c r="J40" s="8" t="s">
        <v>317</v>
      </c>
      <c r="K40" s="8" t="s">
        <v>213</v>
      </c>
      <c r="L40" s="8" t="s">
        <v>318</v>
      </c>
      <c r="M40" s="8" t="s">
        <v>234</v>
      </c>
    </row>
    <row r="41" ht="118.8" customHeight="1" spans="1:13">
      <c r="A41">
        <v>40</v>
      </c>
      <c r="B41">
        <v>143</v>
      </c>
      <c r="C41">
        <v>144</v>
      </c>
      <c r="D41" t="s">
        <v>319</v>
      </c>
      <c r="E41">
        <v>0.198222105950117</v>
      </c>
      <c r="F41">
        <v>0.0499402556806799</v>
      </c>
      <c r="G41">
        <v>0</v>
      </c>
      <c r="H41" s="8" t="s">
        <v>229</v>
      </c>
      <c r="I41" s="8" t="s">
        <v>320</v>
      </c>
      <c r="J41" s="8" t="s">
        <v>321</v>
      </c>
      <c r="K41" s="8" t="s">
        <v>322</v>
      </c>
      <c r="L41" s="8" t="s">
        <v>323</v>
      </c>
      <c r="M41" s="8" t="s">
        <v>234</v>
      </c>
    </row>
    <row r="42" ht="105.6" customHeight="1" spans="1:13">
      <c r="A42">
        <v>41</v>
      </c>
      <c r="B42">
        <v>222</v>
      </c>
      <c r="C42">
        <v>223</v>
      </c>
      <c r="D42" t="s">
        <v>324</v>
      </c>
      <c r="E42">
        <v>0.189218793809414</v>
      </c>
      <c r="F42">
        <v>0.0599521453837336</v>
      </c>
      <c r="G42">
        <v>0</v>
      </c>
      <c r="H42" s="8" t="s">
        <v>168</v>
      </c>
      <c r="I42" s="8" t="s">
        <v>325</v>
      </c>
      <c r="J42" s="8" t="s">
        <v>326</v>
      </c>
      <c r="K42" s="8" t="s">
        <v>327</v>
      </c>
      <c r="L42" s="8" t="s">
        <v>172</v>
      </c>
      <c r="M42" s="8" t="s">
        <v>173</v>
      </c>
    </row>
    <row r="43" ht="171.6" customHeight="1" spans="1:13">
      <c r="A43">
        <v>42</v>
      </c>
      <c r="B43">
        <v>247</v>
      </c>
      <c r="C43">
        <v>248</v>
      </c>
      <c r="D43" t="s">
        <v>328</v>
      </c>
      <c r="E43">
        <v>0.189218790829182</v>
      </c>
      <c r="F43">
        <v>0.0599521518395838</v>
      </c>
      <c r="G43">
        <v>0</v>
      </c>
      <c r="H43" s="8" t="s">
        <v>229</v>
      </c>
      <c r="I43" s="8" t="s">
        <v>329</v>
      </c>
      <c r="J43" s="8" t="s">
        <v>330</v>
      </c>
      <c r="K43" s="8" t="s">
        <v>331</v>
      </c>
      <c r="L43" s="8" t="s">
        <v>332</v>
      </c>
      <c r="M43" s="8" t="s">
        <v>234</v>
      </c>
    </row>
    <row r="44" ht="118.8" customHeight="1" spans="1:13">
      <c r="A44">
        <v>43</v>
      </c>
      <c r="B44">
        <v>229</v>
      </c>
      <c r="C44">
        <v>230</v>
      </c>
      <c r="D44" t="s">
        <v>333</v>
      </c>
      <c r="E44">
        <v>0.18725161626935</v>
      </c>
      <c r="F44">
        <v>0.0506251554432023</v>
      </c>
      <c r="G44">
        <v>0</v>
      </c>
      <c r="H44" s="8" t="s">
        <v>168</v>
      </c>
      <c r="I44" s="8" t="s">
        <v>274</v>
      </c>
      <c r="J44" s="8" t="s">
        <v>334</v>
      </c>
      <c r="K44" s="8" t="s">
        <v>195</v>
      </c>
      <c r="L44" s="8" t="s">
        <v>172</v>
      </c>
      <c r="M44" s="8" t="s">
        <v>173</v>
      </c>
    </row>
    <row r="45" ht="158.4" customHeight="1" spans="1:13">
      <c r="A45">
        <v>44</v>
      </c>
      <c r="B45">
        <v>228</v>
      </c>
      <c r="C45">
        <v>229</v>
      </c>
      <c r="D45" t="s">
        <v>335</v>
      </c>
      <c r="E45">
        <v>0.18725161626935</v>
      </c>
      <c r="F45">
        <v>0.0506251554432023</v>
      </c>
      <c r="G45">
        <v>0</v>
      </c>
      <c r="H45" s="8" t="s">
        <v>229</v>
      </c>
      <c r="I45" s="8" t="s">
        <v>336</v>
      </c>
      <c r="J45" s="8" t="s">
        <v>337</v>
      </c>
      <c r="K45" s="8" t="s">
        <v>195</v>
      </c>
      <c r="L45" s="8" t="s">
        <v>338</v>
      </c>
      <c r="M45" s="8" t="s">
        <v>234</v>
      </c>
    </row>
    <row r="46" ht="92.4" customHeight="1" spans="1:13">
      <c r="A46">
        <v>45</v>
      </c>
      <c r="B46">
        <v>233</v>
      </c>
      <c r="C46">
        <v>234</v>
      </c>
      <c r="D46" t="s">
        <v>339</v>
      </c>
      <c r="E46">
        <v>0.185020991414785</v>
      </c>
      <c r="F46">
        <v>0.0586778252765882</v>
      </c>
      <c r="G46">
        <v>0</v>
      </c>
      <c r="H46" s="8" t="s">
        <v>229</v>
      </c>
      <c r="I46" s="8" t="s">
        <v>340</v>
      </c>
      <c r="J46" s="8" t="s">
        <v>341</v>
      </c>
      <c r="K46" s="8" t="s">
        <v>342</v>
      </c>
      <c r="L46" s="8" t="s">
        <v>343</v>
      </c>
      <c r="M46" s="8" t="s">
        <v>234</v>
      </c>
    </row>
    <row r="47" ht="92.4" customHeight="1" spans="1:13">
      <c r="A47">
        <v>46</v>
      </c>
      <c r="B47">
        <v>190</v>
      </c>
      <c r="C47">
        <v>191</v>
      </c>
      <c r="D47" t="s">
        <v>344</v>
      </c>
      <c r="E47">
        <v>0.185020985454321</v>
      </c>
      <c r="F47">
        <v>0.0586778134511057</v>
      </c>
      <c r="G47">
        <v>0</v>
      </c>
      <c r="H47" s="8" t="s">
        <v>240</v>
      </c>
      <c r="I47" s="8" t="s">
        <v>290</v>
      </c>
      <c r="J47" s="8" t="s">
        <v>345</v>
      </c>
      <c r="K47" s="8" t="s">
        <v>290</v>
      </c>
      <c r="L47" s="8" t="s">
        <v>346</v>
      </c>
      <c r="M47" s="8" t="s">
        <v>245</v>
      </c>
    </row>
    <row r="48" ht="105.6" customHeight="1" spans="1:13">
      <c r="A48">
        <v>47</v>
      </c>
      <c r="B48">
        <v>194</v>
      </c>
      <c r="C48">
        <v>195</v>
      </c>
      <c r="D48" t="s">
        <v>347</v>
      </c>
      <c r="E48">
        <v>0.182828959822655</v>
      </c>
      <c r="F48">
        <v>0.0562886158768637</v>
      </c>
      <c r="G48">
        <v>0</v>
      </c>
      <c r="H48" s="8" t="s">
        <v>168</v>
      </c>
      <c r="I48" s="8" t="s">
        <v>348</v>
      </c>
      <c r="J48" s="8" t="s">
        <v>349</v>
      </c>
      <c r="K48" s="8" t="s">
        <v>350</v>
      </c>
      <c r="L48" s="8" t="s">
        <v>172</v>
      </c>
      <c r="M48" s="8" t="s">
        <v>173</v>
      </c>
    </row>
    <row r="49" ht="158.4" customHeight="1" spans="1:13">
      <c r="A49">
        <v>48</v>
      </c>
      <c r="B49">
        <v>142</v>
      </c>
      <c r="C49">
        <v>143</v>
      </c>
      <c r="D49" t="s">
        <v>351</v>
      </c>
      <c r="E49">
        <v>0.182828957587481</v>
      </c>
      <c r="F49">
        <v>0.0562886189940769</v>
      </c>
      <c r="G49">
        <v>0</v>
      </c>
      <c r="H49" s="8" t="s">
        <v>168</v>
      </c>
      <c r="I49" s="8" t="s">
        <v>320</v>
      </c>
      <c r="J49" s="8" t="s">
        <v>352</v>
      </c>
      <c r="K49" s="8" t="s">
        <v>322</v>
      </c>
      <c r="L49" s="8" t="s">
        <v>172</v>
      </c>
      <c r="M49" s="8" t="s">
        <v>173</v>
      </c>
    </row>
    <row r="50" ht="158.4" customHeight="1" spans="1:13">
      <c r="A50">
        <v>49</v>
      </c>
      <c r="B50">
        <v>256</v>
      </c>
      <c r="C50">
        <v>257</v>
      </c>
      <c r="D50" t="s">
        <v>353</v>
      </c>
      <c r="E50">
        <v>0.180628487467766</v>
      </c>
      <c r="F50">
        <v>0.0538099976573605</v>
      </c>
      <c r="G50">
        <v>0</v>
      </c>
      <c r="H50" s="8" t="s">
        <v>229</v>
      </c>
      <c r="I50" s="8" t="s">
        <v>354</v>
      </c>
      <c r="J50" s="8" t="s">
        <v>355</v>
      </c>
      <c r="K50" s="8" t="s">
        <v>356</v>
      </c>
      <c r="L50" s="8" t="s">
        <v>357</v>
      </c>
      <c r="M50" s="8" t="s">
        <v>234</v>
      </c>
    </row>
    <row r="51" ht="79.2" customHeight="1" spans="1:13">
      <c r="A51">
        <v>50</v>
      </c>
      <c r="B51">
        <v>128</v>
      </c>
      <c r="C51">
        <v>129</v>
      </c>
      <c r="D51" t="s">
        <v>358</v>
      </c>
      <c r="E51">
        <v>0.180628477036953</v>
      </c>
      <c r="F51">
        <v>0.0538100050276812</v>
      </c>
      <c r="G51">
        <v>0</v>
      </c>
      <c r="H51" s="8" t="s">
        <v>240</v>
      </c>
      <c r="I51" s="8" t="s">
        <v>290</v>
      </c>
      <c r="J51" s="8" t="s">
        <v>359</v>
      </c>
      <c r="K51" s="8" t="s">
        <v>290</v>
      </c>
      <c r="L51" s="8" t="s">
        <v>346</v>
      </c>
      <c r="M51" s="8" t="s">
        <v>245</v>
      </c>
    </row>
    <row r="52" spans="1:13">
      <c r="A52">
        <v>51</v>
      </c>
      <c r="B52">
        <v>160</v>
      </c>
      <c r="C52">
        <v>161</v>
      </c>
      <c r="D52" t="s">
        <v>360</v>
      </c>
      <c r="E52">
        <v>0.172463674098253</v>
      </c>
      <c r="F52">
        <v>0.0467113346292757</v>
      </c>
      <c r="G52">
        <v>0</v>
      </c>
      <c r="H52" t="s">
        <v>290</v>
      </c>
      <c r="I52" t="s">
        <v>290</v>
      </c>
      <c r="J52" t="s">
        <v>290</v>
      </c>
    </row>
    <row r="53" spans="1:13">
      <c r="A53">
        <v>52</v>
      </c>
      <c r="B53">
        <v>120</v>
      </c>
      <c r="C53">
        <v>121</v>
      </c>
      <c r="D53" t="s">
        <v>361</v>
      </c>
      <c r="E53">
        <v>0.168130122125149</v>
      </c>
      <c r="F53">
        <v>0.0577656739263793</v>
      </c>
      <c r="G53">
        <v>0</v>
      </c>
      <c r="H53" t="s">
        <v>290</v>
      </c>
      <c r="I53" t="s">
        <v>290</v>
      </c>
      <c r="J53" t="s">
        <v>290</v>
      </c>
    </row>
    <row r="54" spans="1:13">
      <c r="A54">
        <v>53</v>
      </c>
      <c r="B54">
        <v>125</v>
      </c>
      <c r="C54">
        <v>126</v>
      </c>
      <c r="D54" t="s">
        <v>362</v>
      </c>
      <c r="E54">
        <v>0.167499354481697</v>
      </c>
      <c r="F54">
        <v>0.0471813018637111</v>
      </c>
      <c r="G54">
        <v>0</v>
      </c>
      <c r="H54" t="s">
        <v>290</v>
      </c>
      <c r="I54" t="s">
        <v>290</v>
      </c>
      <c r="J54" t="s">
        <v>290</v>
      </c>
    </row>
    <row r="55" spans="1:13">
      <c r="A55">
        <v>54</v>
      </c>
      <c r="B55">
        <v>220</v>
      </c>
      <c r="C55">
        <v>221</v>
      </c>
      <c r="D55" t="s">
        <v>363</v>
      </c>
      <c r="E55">
        <v>0.164940144121647</v>
      </c>
      <c r="F55">
        <v>0.0612199271794384</v>
      </c>
      <c r="G55">
        <v>0</v>
      </c>
      <c r="H55" t="s">
        <v>290</v>
      </c>
      <c r="I55" t="s">
        <v>290</v>
      </c>
      <c r="J55" t="s">
        <v>290</v>
      </c>
    </row>
    <row r="56" spans="1:13">
      <c r="A56">
        <v>55</v>
      </c>
      <c r="B56">
        <v>205</v>
      </c>
      <c r="C56">
        <v>206</v>
      </c>
      <c r="D56" t="s">
        <v>364</v>
      </c>
      <c r="E56">
        <v>0.162711003422737</v>
      </c>
      <c r="F56">
        <v>0.0481345422263316</v>
      </c>
      <c r="G56">
        <v>0</v>
      </c>
      <c r="H56" t="s">
        <v>290</v>
      </c>
      <c r="I56" t="s">
        <v>290</v>
      </c>
      <c r="J56" t="s">
        <v>290</v>
      </c>
    </row>
    <row r="57" spans="1:13">
      <c r="A57">
        <v>56</v>
      </c>
      <c r="B57">
        <v>62</v>
      </c>
      <c r="C57">
        <v>63</v>
      </c>
      <c r="D57" t="s">
        <v>365</v>
      </c>
      <c r="E57">
        <v>0.161235822737217</v>
      </c>
      <c r="F57">
        <v>0.0678574528088828</v>
      </c>
      <c r="G57">
        <v>0</v>
      </c>
      <c r="H57" t="s">
        <v>290</v>
      </c>
      <c r="I57" t="s">
        <v>290</v>
      </c>
      <c r="J57" t="s">
        <v>290</v>
      </c>
    </row>
    <row r="58" spans="1:13">
      <c r="A58">
        <v>57</v>
      </c>
      <c r="B58">
        <v>225</v>
      </c>
      <c r="C58">
        <v>226</v>
      </c>
      <c r="D58" t="s">
        <v>366</v>
      </c>
      <c r="E58">
        <v>0.160517701506615</v>
      </c>
      <c r="F58">
        <v>0.0465811558042898</v>
      </c>
      <c r="G58">
        <v>0</v>
      </c>
      <c r="H58" t="s">
        <v>290</v>
      </c>
      <c r="I58" t="s">
        <v>290</v>
      </c>
      <c r="J58" t="s">
        <v>290</v>
      </c>
    </row>
    <row r="59" spans="1:13">
      <c r="A59">
        <v>58</v>
      </c>
      <c r="B59">
        <v>114</v>
      </c>
      <c r="C59">
        <v>115</v>
      </c>
      <c r="D59" t="s">
        <v>367</v>
      </c>
      <c r="E59">
        <v>0.157251550257206</v>
      </c>
      <c r="F59">
        <v>0.0571878877583154</v>
      </c>
      <c r="G59">
        <v>0</v>
      </c>
      <c r="H59" t="s">
        <v>290</v>
      </c>
      <c r="I59" t="s">
        <v>290</v>
      </c>
      <c r="J59" t="s">
        <v>290</v>
      </c>
    </row>
    <row r="60" spans="1:13">
      <c r="A60">
        <v>59</v>
      </c>
      <c r="B60">
        <v>262</v>
      </c>
      <c r="C60">
        <v>263</v>
      </c>
      <c r="D60" t="s">
        <v>368</v>
      </c>
      <c r="E60">
        <v>0.122834688797593</v>
      </c>
      <c r="F60">
        <v>0.0479920842302537</v>
      </c>
      <c r="G60">
        <v>0</v>
      </c>
      <c r="H60" t="s">
        <v>290</v>
      </c>
      <c r="I60" t="s">
        <v>290</v>
      </c>
      <c r="J60" t="s">
        <v>290</v>
      </c>
    </row>
    <row r="61" spans="1:13">
      <c r="A61">
        <v>60</v>
      </c>
      <c r="B61">
        <v>278</v>
      </c>
      <c r="C61">
        <v>279</v>
      </c>
      <c r="D61" t="s">
        <v>369</v>
      </c>
      <c r="E61">
        <v>0.106337134540081</v>
      </c>
      <c r="F61">
        <v>0.0436492692336872</v>
      </c>
      <c r="G61">
        <v>0</v>
      </c>
      <c r="H61" t="s">
        <v>290</v>
      </c>
      <c r="I61" t="s">
        <v>290</v>
      </c>
      <c r="J61" t="s">
        <v>290</v>
      </c>
    </row>
    <row r="62" spans="1:13">
      <c r="A62">
        <v>61</v>
      </c>
      <c r="B62">
        <v>290</v>
      </c>
      <c r="C62">
        <v>291</v>
      </c>
      <c r="D62" t="s">
        <v>370</v>
      </c>
      <c r="E62">
        <v>0.103024028241634</v>
      </c>
      <c r="F62">
        <v>0.0440830479100395</v>
      </c>
      <c r="G62">
        <v>0</v>
      </c>
      <c r="H62" t="s">
        <v>290</v>
      </c>
      <c r="I62" t="s">
        <v>290</v>
      </c>
      <c r="J62" t="s">
        <v>290</v>
      </c>
    </row>
    <row r="63" spans="1:13">
      <c r="A63">
        <v>62</v>
      </c>
      <c r="B63">
        <v>58</v>
      </c>
      <c r="C63">
        <v>59</v>
      </c>
      <c r="D63" t="s">
        <v>371</v>
      </c>
      <c r="E63">
        <v>0.0998556133359671</v>
      </c>
      <c r="F63">
        <v>0.0492360095456147</v>
      </c>
      <c r="G63">
        <v>0</v>
      </c>
      <c r="H63" t="s">
        <v>290</v>
      </c>
      <c r="I63" t="s">
        <v>290</v>
      </c>
      <c r="J63" t="s">
        <v>290</v>
      </c>
    </row>
    <row r="64" spans="1:13">
      <c r="A64">
        <v>63</v>
      </c>
      <c r="B64">
        <v>288</v>
      </c>
      <c r="C64">
        <v>289</v>
      </c>
      <c r="D64" t="s">
        <v>372</v>
      </c>
      <c r="E64">
        <v>0.0993274353444576</v>
      </c>
      <c r="F64">
        <v>0.0455784005076887</v>
      </c>
      <c r="G64">
        <v>0</v>
      </c>
      <c r="H64" t="s">
        <v>290</v>
      </c>
      <c r="I64" t="s">
        <v>290</v>
      </c>
      <c r="J64" t="s">
        <v>290</v>
      </c>
    </row>
    <row r="65" spans="1:10">
      <c r="A65">
        <v>64</v>
      </c>
      <c r="B65">
        <v>279</v>
      </c>
      <c r="C65">
        <v>280</v>
      </c>
      <c r="D65" t="s">
        <v>373</v>
      </c>
      <c r="E65">
        <v>0.0950263984501362</v>
      </c>
      <c r="F65">
        <v>0.0459620237465679</v>
      </c>
      <c r="G65">
        <v>0</v>
      </c>
      <c r="H65" t="s">
        <v>290</v>
      </c>
      <c r="I65" t="s">
        <v>290</v>
      </c>
      <c r="J65" t="s">
        <v>290</v>
      </c>
    </row>
    <row r="66" spans="1:10">
      <c r="A66">
        <v>65</v>
      </c>
      <c r="B66">
        <v>210</v>
      </c>
      <c r="C66">
        <v>211</v>
      </c>
      <c r="D66" t="s">
        <v>374</v>
      </c>
      <c r="E66">
        <v>0.0881036981940269</v>
      </c>
      <c r="F66">
        <v>0.0358621600921246</v>
      </c>
      <c r="G66">
        <v>0</v>
      </c>
      <c r="H66" t="s">
        <v>290</v>
      </c>
      <c r="I66" t="s">
        <v>290</v>
      </c>
      <c r="J66" t="s">
        <v>290</v>
      </c>
    </row>
    <row r="67" spans="1:10">
      <c r="A67">
        <v>66</v>
      </c>
      <c r="B67">
        <v>158</v>
      </c>
      <c r="C67">
        <v>159</v>
      </c>
      <c r="D67" t="s">
        <v>375</v>
      </c>
      <c r="E67">
        <v>0.0877222033217549</v>
      </c>
      <c r="F67">
        <v>0.0554492110940575</v>
      </c>
      <c r="G67">
        <v>0</v>
      </c>
      <c r="H67" t="s">
        <v>290</v>
      </c>
      <c r="I67" t="s">
        <v>290</v>
      </c>
      <c r="J67" t="s">
        <v>290</v>
      </c>
    </row>
    <row r="68" spans="1:10">
      <c r="A68">
        <v>67</v>
      </c>
      <c r="B68">
        <v>50</v>
      </c>
      <c r="C68">
        <v>51</v>
      </c>
      <c r="D68" t="s">
        <v>376</v>
      </c>
      <c r="E68">
        <v>0.0827370721846819</v>
      </c>
      <c r="F68">
        <v>0.0163884719890026</v>
      </c>
      <c r="G68">
        <v>0</v>
      </c>
      <c r="H68" t="s">
        <v>290</v>
      </c>
      <c r="I68" t="s">
        <v>290</v>
      </c>
      <c r="J68" t="s">
        <v>290</v>
      </c>
    </row>
    <row r="69" spans="1:10">
      <c r="A69">
        <v>68</v>
      </c>
      <c r="B69">
        <v>61</v>
      </c>
      <c r="C69">
        <v>62</v>
      </c>
      <c r="D69" t="s">
        <v>377</v>
      </c>
      <c r="E69">
        <v>0.0761869676411152</v>
      </c>
      <c r="F69">
        <v>0.04772823821403</v>
      </c>
      <c r="G69">
        <v>0</v>
      </c>
      <c r="H69" t="s">
        <v>290</v>
      </c>
      <c r="I69" t="s">
        <v>290</v>
      </c>
      <c r="J69" t="s">
        <v>290</v>
      </c>
    </row>
    <row r="70" spans="1:10">
      <c r="A70">
        <v>69</v>
      </c>
      <c r="B70">
        <v>54</v>
      </c>
      <c r="C70">
        <v>55</v>
      </c>
      <c r="D70" t="s">
        <v>378</v>
      </c>
      <c r="E70">
        <v>0.0721204159781337</v>
      </c>
      <c r="F70">
        <v>0.0492682967313841</v>
      </c>
      <c r="G70">
        <v>0</v>
      </c>
      <c r="H70" t="s">
        <v>290</v>
      </c>
      <c r="I70" t="s">
        <v>290</v>
      </c>
      <c r="J70" t="s">
        <v>290</v>
      </c>
    </row>
    <row r="71" spans="1:10">
      <c r="A71">
        <v>70</v>
      </c>
      <c r="B71">
        <v>193</v>
      </c>
      <c r="C71">
        <v>194</v>
      </c>
      <c r="D71" t="s">
        <v>379</v>
      </c>
      <c r="E71">
        <v>0.0691595653072</v>
      </c>
      <c r="F71">
        <v>0.0485254030881642</v>
      </c>
      <c r="G71">
        <v>0</v>
      </c>
      <c r="H71" t="s">
        <v>290</v>
      </c>
      <c r="I71" t="s">
        <v>290</v>
      </c>
      <c r="J71" t="s">
        <v>290</v>
      </c>
    </row>
    <row r="72" spans="1:10">
      <c r="A72">
        <v>71</v>
      </c>
      <c r="B72">
        <v>209</v>
      </c>
      <c r="C72">
        <v>210</v>
      </c>
      <c r="D72" t="s">
        <v>380</v>
      </c>
      <c r="E72">
        <v>0.0685375303030014</v>
      </c>
      <c r="F72">
        <v>0.0471314950025314</v>
      </c>
      <c r="G72">
        <v>0</v>
      </c>
      <c r="H72" t="s">
        <v>290</v>
      </c>
      <c r="I72" t="s">
        <v>290</v>
      </c>
      <c r="J72" t="s">
        <v>290</v>
      </c>
    </row>
    <row r="73" spans="1:10">
      <c r="A73">
        <v>72</v>
      </c>
      <c r="B73">
        <v>132</v>
      </c>
      <c r="C73">
        <v>133</v>
      </c>
      <c r="D73" t="s">
        <v>381</v>
      </c>
      <c r="E73">
        <v>0.0685375278815627</v>
      </c>
      <c r="F73">
        <v>0.0471314959856571</v>
      </c>
      <c r="G73">
        <v>0</v>
      </c>
      <c r="H73" t="s">
        <v>290</v>
      </c>
      <c r="I73" t="s">
        <v>290</v>
      </c>
      <c r="J73" t="s">
        <v>290</v>
      </c>
    </row>
    <row r="74" spans="1:10">
      <c r="A74">
        <v>73</v>
      </c>
      <c r="B74">
        <v>223</v>
      </c>
      <c r="C74">
        <v>224</v>
      </c>
      <c r="D74" t="s">
        <v>382</v>
      </c>
      <c r="E74">
        <v>0.0685375278815627</v>
      </c>
      <c r="F74">
        <v>0.0471314909102068</v>
      </c>
      <c r="G74">
        <v>0</v>
      </c>
      <c r="H74" t="s">
        <v>290</v>
      </c>
      <c r="I74" t="s">
        <v>290</v>
      </c>
      <c r="J74" t="s">
        <v>290</v>
      </c>
    </row>
    <row r="75" spans="1:10">
      <c r="A75">
        <v>74</v>
      </c>
      <c r="B75">
        <v>201</v>
      </c>
      <c r="C75">
        <v>202</v>
      </c>
      <c r="D75" t="s">
        <v>383</v>
      </c>
      <c r="E75">
        <v>0.0685375267639756</v>
      </c>
      <c r="F75">
        <v>0.0471314950508642</v>
      </c>
      <c r="G75">
        <v>0</v>
      </c>
      <c r="H75" t="s">
        <v>290</v>
      </c>
      <c r="I75" t="s">
        <v>290</v>
      </c>
      <c r="J75" t="s">
        <v>290</v>
      </c>
    </row>
    <row r="76" spans="1:10">
      <c r="A76">
        <v>75</v>
      </c>
      <c r="B76">
        <v>185</v>
      </c>
      <c r="C76">
        <v>186</v>
      </c>
      <c r="D76" t="s">
        <v>384</v>
      </c>
      <c r="E76">
        <v>0.0685375263914466</v>
      </c>
      <c r="F76">
        <v>0.0471314897274734</v>
      </c>
      <c r="G76">
        <v>0</v>
      </c>
      <c r="H76" t="s">
        <v>290</v>
      </c>
      <c r="I76" t="s">
        <v>290</v>
      </c>
      <c r="J76" t="s">
        <v>290</v>
      </c>
    </row>
    <row r="77" spans="1:10">
      <c r="A77">
        <v>76</v>
      </c>
      <c r="B77">
        <v>184</v>
      </c>
      <c r="C77">
        <v>185</v>
      </c>
      <c r="D77" t="s">
        <v>385</v>
      </c>
      <c r="E77">
        <v>0.0685375263914466</v>
      </c>
      <c r="F77">
        <v>0.0471314897274734</v>
      </c>
      <c r="G77">
        <v>0</v>
      </c>
      <c r="H77" t="s">
        <v>290</v>
      </c>
      <c r="I77" t="s">
        <v>290</v>
      </c>
      <c r="J77" t="s">
        <v>290</v>
      </c>
    </row>
    <row r="78" spans="1:10">
      <c r="A78">
        <v>77</v>
      </c>
      <c r="B78">
        <v>188</v>
      </c>
      <c r="C78">
        <v>189</v>
      </c>
      <c r="D78" t="s">
        <v>386</v>
      </c>
      <c r="E78">
        <v>0.0685375252738595</v>
      </c>
      <c r="F78">
        <v>0.0471314877372165</v>
      </c>
      <c r="G78">
        <v>0</v>
      </c>
      <c r="H78" t="s">
        <v>290</v>
      </c>
      <c r="I78" t="s">
        <v>290</v>
      </c>
      <c r="J78" t="s">
        <v>290</v>
      </c>
    </row>
    <row r="79" spans="1:10">
      <c r="A79">
        <v>78</v>
      </c>
      <c r="B79">
        <v>189</v>
      </c>
      <c r="C79">
        <v>190</v>
      </c>
      <c r="D79" t="s">
        <v>387</v>
      </c>
      <c r="E79">
        <v>0.0685375252738595</v>
      </c>
      <c r="F79">
        <v>0.0471314877372165</v>
      </c>
      <c r="G79">
        <v>0</v>
      </c>
      <c r="H79" t="s">
        <v>290</v>
      </c>
      <c r="I79" t="s">
        <v>290</v>
      </c>
      <c r="J79" t="s">
        <v>290</v>
      </c>
    </row>
    <row r="80" spans="1:10">
      <c r="A80">
        <v>79</v>
      </c>
      <c r="B80">
        <v>163</v>
      </c>
      <c r="C80">
        <v>164</v>
      </c>
      <c r="D80" t="s">
        <v>388</v>
      </c>
      <c r="E80">
        <v>0.0685375249013305</v>
      </c>
      <c r="F80">
        <v>0.0471314847447951</v>
      </c>
      <c r="G80">
        <v>0</v>
      </c>
      <c r="H80" t="s">
        <v>290</v>
      </c>
      <c r="I80" t="s">
        <v>290</v>
      </c>
      <c r="J80" t="s">
        <v>290</v>
      </c>
    </row>
    <row r="81" spans="1:10">
      <c r="A81">
        <v>80</v>
      </c>
      <c r="B81">
        <v>162</v>
      </c>
      <c r="C81">
        <v>163</v>
      </c>
      <c r="D81" t="s">
        <v>389</v>
      </c>
      <c r="E81">
        <v>0.0685375249013305</v>
      </c>
      <c r="F81">
        <v>0.0471314847447951</v>
      </c>
      <c r="G81">
        <v>0</v>
      </c>
      <c r="H81" t="s">
        <v>290</v>
      </c>
      <c r="I81" t="s">
        <v>290</v>
      </c>
      <c r="J81" t="s">
        <v>290</v>
      </c>
    </row>
    <row r="82" spans="1:10">
      <c r="A82">
        <v>81</v>
      </c>
      <c r="B82">
        <v>195</v>
      </c>
      <c r="C82">
        <v>196</v>
      </c>
      <c r="D82" t="s">
        <v>390</v>
      </c>
      <c r="E82">
        <v>0.068537524715066</v>
      </c>
      <c r="F82">
        <v>0.0471314876844966</v>
      </c>
      <c r="G82">
        <v>0</v>
      </c>
      <c r="H82" t="s">
        <v>290</v>
      </c>
      <c r="I82" t="s">
        <v>290</v>
      </c>
      <c r="J82" t="s">
        <v>290</v>
      </c>
    </row>
    <row r="83" spans="1:10">
      <c r="A83">
        <v>82</v>
      </c>
      <c r="B83">
        <v>157</v>
      </c>
      <c r="C83">
        <v>158</v>
      </c>
      <c r="D83" t="s">
        <v>391</v>
      </c>
      <c r="E83">
        <v>0.0670943222939968</v>
      </c>
      <c r="F83">
        <v>0.0358792110246439</v>
      </c>
      <c r="G83">
        <v>0</v>
      </c>
      <c r="H83" t="s">
        <v>290</v>
      </c>
      <c r="I83" t="s">
        <v>290</v>
      </c>
      <c r="J83" t="s">
        <v>290</v>
      </c>
    </row>
    <row r="84" spans="1:10">
      <c r="A84">
        <v>83</v>
      </c>
      <c r="B84">
        <v>274</v>
      </c>
      <c r="C84">
        <v>275</v>
      </c>
      <c r="D84" t="s">
        <v>392</v>
      </c>
      <c r="E84">
        <v>0.0651046042330563</v>
      </c>
      <c r="F84">
        <v>0.0301022344249277</v>
      </c>
      <c r="G84">
        <v>0</v>
      </c>
      <c r="H84" t="s">
        <v>290</v>
      </c>
      <c r="I84" t="s">
        <v>290</v>
      </c>
      <c r="J84" t="s">
        <v>290</v>
      </c>
    </row>
    <row r="85" spans="1:10">
      <c r="A85">
        <v>84</v>
      </c>
      <c r="B85">
        <v>285</v>
      </c>
      <c r="C85">
        <v>286</v>
      </c>
      <c r="D85" t="s">
        <v>393</v>
      </c>
      <c r="E85">
        <v>0.063587030954659</v>
      </c>
      <c r="F85">
        <v>0.0314343554774459</v>
      </c>
      <c r="G85">
        <v>0</v>
      </c>
      <c r="H85" t="s">
        <v>290</v>
      </c>
      <c r="I85" t="s">
        <v>290</v>
      </c>
      <c r="J85" t="s">
        <v>290</v>
      </c>
    </row>
    <row r="86" spans="1:10">
      <c r="A86">
        <v>85</v>
      </c>
      <c r="B86">
        <v>10</v>
      </c>
      <c r="C86">
        <v>11</v>
      </c>
      <c r="D86" t="s">
        <v>394</v>
      </c>
      <c r="E86">
        <v>0.0622586606070399</v>
      </c>
      <c r="F86">
        <v>0.0282842795816892</v>
      </c>
      <c r="G86">
        <v>0</v>
      </c>
      <c r="H86" t="s">
        <v>290</v>
      </c>
      <c r="I86" t="s">
        <v>290</v>
      </c>
      <c r="J86" t="s">
        <v>290</v>
      </c>
    </row>
    <row r="87" spans="1:10">
      <c r="A87">
        <v>86</v>
      </c>
      <c r="B87">
        <v>11</v>
      </c>
      <c r="C87">
        <v>12</v>
      </c>
      <c r="D87" t="s">
        <v>395</v>
      </c>
      <c r="E87">
        <v>0.0574219984933734</v>
      </c>
      <c r="F87">
        <v>0.034077019122995</v>
      </c>
      <c r="G87">
        <v>0</v>
      </c>
      <c r="H87" t="s">
        <v>290</v>
      </c>
      <c r="I87" t="s">
        <v>290</v>
      </c>
      <c r="J87" t="s">
        <v>290</v>
      </c>
    </row>
    <row r="88" spans="1:10">
      <c r="A88">
        <v>87</v>
      </c>
      <c r="B88">
        <v>147</v>
      </c>
      <c r="C88">
        <v>148</v>
      </c>
      <c r="D88" t="s">
        <v>396</v>
      </c>
      <c r="E88">
        <v>0.0566306764259934</v>
      </c>
      <c r="F88">
        <v>0.0250063504231661</v>
      </c>
      <c r="G88">
        <v>0</v>
      </c>
      <c r="H88" t="s">
        <v>290</v>
      </c>
      <c r="I88" t="s">
        <v>290</v>
      </c>
      <c r="J88" t="s">
        <v>290</v>
      </c>
    </row>
    <row r="89" spans="1:10">
      <c r="A89">
        <v>88</v>
      </c>
      <c r="B89">
        <v>91</v>
      </c>
      <c r="C89">
        <v>92</v>
      </c>
      <c r="D89" t="s">
        <v>397</v>
      </c>
      <c r="E89">
        <v>0.0530243258923292</v>
      </c>
      <c r="F89">
        <v>0.0368632257032588</v>
      </c>
      <c r="G89">
        <v>0</v>
      </c>
      <c r="H89" t="s">
        <v>290</v>
      </c>
      <c r="I89" t="s">
        <v>290</v>
      </c>
      <c r="J89" t="s">
        <v>290</v>
      </c>
    </row>
    <row r="90" spans="1:10">
      <c r="A90">
        <v>89</v>
      </c>
      <c r="B90">
        <v>259</v>
      </c>
      <c r="C90">
        <v>260</v>
      </c>
      <c r="D90" t="s">
        <v>398</v>
      </c>
      <c r="E90">
        <v>0.0521270296070725</v>
      </c>
      <c r="F90">
        <v>0.038455537419619</v>
      </c>
      <c r="G90">
        <v>0</v>
      </c>
      <c r="H90" t="s">
        <v>290</v>
      </c>
      <c r="I90" t="s">
        <v>290</v>
      </c>
      <c r="J90" t="s">
        <v>290</v>
      </c>
    </row>
    <row r="91" spans="1:10">
      <c r="A91">
        <v>90</v>
      </c>
      <c r="B91">
        <v>216</v>
      </c>
      <c r="C91">
        <v>217</v>
      </c>
      <c r="D91" t="s">
        <v>399</v>
      </c>
      <c r="E91">
        <v>0.0492652081884444</v>
      </c>
      <c r="F91">
        <v>0.0331699531344772</v>
      </c>
      <c r="G91">
        <v>0</v>
      </c>
      <c r="H91" t="s">
        <v>290</v>
      </c>
      <c r="I91" t="s">
        <v>290</v>
      </c>
      <c r="J91" t="s">
        <v>290</v>
      </c>
    </row>
    <row r="92" spans="1:10">
      <c r="A92">
        <v>91</v>
      </c>
      <c r="B92">
        <v>219</v>
      </c>
      <c r="C92">
        <v>220</v>
      </c>
      <c r="D92" t="s">
        <v>400</v>
      </c>
      <c r="E92">
        <v>0.0492652081884444</v>
      </c>
      <c r="F92">
        <v>0.0331699502579797</v>
      </c>
      <c r="G92">
        <v>0</v>
      </c>
      <c r="H92" t="s">
        <v>290</v>
      </c>
      <c r="I92" t="s">
        <v>290</v>
      </c>
      <c r="J92" t="s">
        <v>290</v>
      </c>
    </row>
    <row r="93" spans="1:10">
      <c r="A93">
        <v>92</v>
      </c>
      <c r="B93">
        <v>207</v>
      </c>
      <c r="C93">
        <v>208</v>
      </c>
      <c r="D93" t="s">
        <v>401</v>
      </c>
      <c r="E93">
        <v>0.0492652066983283</v>
      </c>
      <c r="F93">
        <v>0.0331699491094017</v>
      </c>
      <c r="G93">
        <v>0</v>
      </c>
      <c r="H93" t="s">
        <v>290</v>
      </c>
      <c r="I93" t="s">
        <v>290</v>
      </c>
      <c r="J93" t="s">
        <v>290</v>
      </c>
    </row>
    <row r="94" spans="1:10">
      <c r="A94">
        <v>93</v>
      </c>
      <c r="B94">
        <v>244</v>
      </c>
      <c r="C94">
        <v>245</v>
      </c>
      <c r="D94" t="s">
        <v>402</v>
      </c>
      <c r="E94">
        <v>0.0492652055807412</v>
      </c>
      <c r="F94">
        <v>0.0331699524280621</v>
      </c>
      <c r="G94">
        <v>0</v>
      </c>
      <c r="H94" t="s">
        <v>290</v>
      </c>
      <c r="I94" t="s">
        <v>290</v>
      </c>
      <c r="J94" t="s">
        <v>290</v>
      </c>
    </row>
    <row r="95" spans="1:10">
      <c r="A95">
        <v>94</v>
      </c>
      <c r="B95">
        <v>197</v>
      </c>
      <c r="C95">
        <v>198</v>
      </c>
      <c r="D95" t="s">
        <v>403</v>
      </c>
      <c r="E95">
        <v>0.0492652052547783</v>
      </c>
      <c r="F95">
        <v>0.0331699525090835</v>
      </c>
      <c r="G95">
        <v>0</v>
      </c>
      <c r="H95" t="s">
        <v>290</v>
      </c>
      <c r="I95" t="s">
        <v>290</v>
      </c>
      <c r="J95" t="s">
        <v>290</v>
      </c>
    </row>
    <row r="96" spans="1:10">
      <c r="A96">
        <v>95</v>
      </c>
      <c r="B96">
        <v>126</v>
      </c>
      <c r="C96">
        <v>127</v>
      </c>
      <c r="D96" t="s">
        <v>404</v>
      </c>
      <c r="E96">
        <v>0.0492652039509267</v>
      </c>
      <c r="F96">
        <v>0.0331699527168543</v>
      </c>
      <c r="G96">
        <v>0</v>
      </c>
      <c r="H96" t="s">
        <v>290</v>
      </c>
      <c r="I96" t="s">
        <v>290</v>
      </c>
      <c r="J96" t="s">
        <v>290</v>
      </c>
    </row>
    <row r="97" spans="1:10">
      <c r="A97">
        <v>96</v>
      </c>
      <c r="B97">
        <v>107</v>
      </c>
      <c r="C97">
        <v>108</v>
      </c>
      <c r="D97" t="s">
        <v>405</v>
      </c>
      <c r="E97">
        <v>0.0461905585601926</v>
      </c>
      <c r="F97">
        <v>0.034016829615209</v>
      </c>
      <c r="G97">
        <v>0</v>
      </c>
      <c r="H97" t="s">
        <v>290</v>
      </c>
      <c r="I97" t="s">
        <v>290</v>
      </c>
      <c r="J97" t="s">
        <v>290</v>
      </c>
    </row>
    <row r="98" spans="1:10">
      <c r="A98">
        <v>97</v>
      </c>
      <c r="B98">
        <v>117</v>
      </c>
      <c r="C98">
        <v>118</v>
      </c>
      <c r="D98" t="s">
        <v>406</v>
      </c>
      <c r="E98">
        <v>0.0416994276922196</v>
      </c>
      <c r="F98">
        <v>0.0314067965304671</v>
      </c>
      <c r="G98">
        <v>0</v>
      </c>
      <c r="H98" t="s">
        <v>290</v>
      </c>
      <c r="I98" t="s">
        <v>290</v>
      </c>
      <c r="J98" t="s">
        <v>290</v>
      </c>
    </row>
    <row r="99" spans="1:10">
      <c r="A99">
        <v>98</v>
      </c>
      <c r="B99">
        <v>214</v>
      </c>
      <c r="C99">
        <v>215</v>
      </c>
      <c r="D99" t="s">
        <v>407</v>
      </c>
      <c r="E99">
        <v>0.0377028800547123</v>
      </c>
      <c r="F99">
        <v>0.0304524914375561</v>
      </c>
      <c r="G99">
        <v>0</v>
      </c>
      <c r="H99" t="s">
        <v>290</v>
      </c>
      <c r="I99" t="s">
        <v>290</v>
      </c>
      <c r="J99" t="s">
        <v>290</v>
      </c>
    </row>
    <row r="100" spans="1:10">
      <c r="A100">
        <v>99</v>
      </c>
      <c r="B100">
        <v>166</v>
      </c>
      <c r="C100">
        <v>167</v>
      </c>
      <c r="D100" t="s">
        <v>408</v>
      </c>
      <c r="E100">
        <v>0.0377028782851994</v>
      </c>
      <c r="F100">
        <v>0.0304524947665408</v>
      </c>
      <c r="G100">
        <v>0</v>
      </c>
      <c r="H100" t="s">
        <v>290</v>
      </c>
      <c r="I100" t="s">
        <v>290</v>
      </c>
      <c r="J100" t="s">
        <v>290</v>
      </c>
    </row>
    <row r="101" spans="1:10">
      <c r="A101">
        <v>100</v>
      </c>
      <c r="B101">
        <v>242</v>
      </c>
      <c r="C101">
        <v>243</v>
      </c>
      <c r="D101" t="s">
        <v>409</v>
      </c>
      <c r="E101">
        <v>0.0377028761897236</v>
      </c>
      <c r="F101">
        <v>0.0304524865827202</v>
      </c>
      <c r="G101">
        <v>0</v>
      </c>
      <c r="H101" t="s">
        <v>290</v>
      </c>
      <c r="I101" t="s">
        <v>290</v>
      </c>
      <c r="J101" t="s">
        <v>290</v>
      </c>
    </row>
    <row r="102" spans="1:10">
      <c r="A102">
        <v>101</v>
      </c>
      <c r="B102">
        <v>231</v>
      </c>
      <c r="C102">
        <v>232</v>
      </c>
      <c r="D102" t="s">
        <v>410</v>
      </c>
      <c r="E102">
        <v>0.033888325188309</v>
      </c>
      <c r="F102">
        <v>0.01467997973692</v>
      </c>
      <c r="G102">
        <v>0</v>
      </c>
      <c r="H102" t="s">
        <v>290</v>
      </c>
      <c r="I102" t="s">
        <v>290</v>
      </c>
      <c r="J102" t="s">
        <v>290</v>
      </c>
    </row>
    <row r="103" spans="1:10">
      <c r="A103">
        <v>102</v>
      </c>
      <c r="B103">
        <v>95</v>
      </c>
      <c r="C103">
        <v>96</v>
      </c>
      <c r="D103" t="s">
        <v>411</v>
      </c>
      <c r="E103">
        <v>0.0324964599683881</v>
      </c>
      <c r="F103">
        <v>0.0234564396426121</v>
      </c>
      <c r="G103">
        <v>0</v>
      </c>
      <c r="H103" t="s">
        <v>290</v>
      </c>
      <c r="I103" t="s">
        <v>290</v>
      </c>
      <c r="J103" t="s">
        <v>290</v>
      </c>
    </row>
    <row r="104" spans="1:10">
      <c r="A104">
        <v>103</v>
      </c>
      <c r="B104">
        <v>63</v>
      </c>
      <c r="C104">
        <v>64</v>
      </c>
      <c r="D104" t="s">
        <v>412</v>
      </c>
      <c r="E104">
        <v>0.0287260326556861</v>
      </c>
      <c r="F104">
        <v>0.0192171186250829</v>
      </c>
      <c r="G104">
        <v>0</v>
      </c>
      <c r="H104" t="s">
        <v>290</v>
      </c>
      <c r="I104" t="s">
        <v>290</v>
      </c>
      <c r="J104" t="s">
        <v>290</v>
      </c>
    </row>
    <row r="105" spans="1:10">
      <c r="A105">
        <v>104</v>
      </c>
      <c r="B105">
        <v>47</v>
      </c>
      <c r="C105">
        <v>48</v>
      </c>
      <c r="D105" t="s">
        <v>413</v>
      </c>
      <c r="E105">
        <v>0.0260383202694356</v>
      </c>
      <c r="F105">
        <v>0.0099336223377702</v>
      </c>
      <c r="G105">
        <v>0</v>
      </c>
      <c r="H105" t="s">
        <v>290</v>
      </c>
      <c r="I105" t="s">
        <v>290</v>
      </c>
      <c r="J105" t="s">
        <v>290</v>
      </c>
    </row>
    <row r="106" spans="1:10">
      <c r="A106">
        <v>105</v>
      </c>
      <c r="B106">
        <v>206</v>
      </c>
      <c r="C106">
        <v>207</v>
      </c>
      <c r="D106" t="s">
        <v>414</v>
      </c>
      <c r="E106">
        <v>0.0247071538120508</v>
      </c>
      <c r="F106">
        <v>0.00862867968436735</v>
      </c>
      <c r="G106">
        <v>1</v>
      </c>
      <c r="H106" t="s">
        <v>290</v>
      </c>
      <c r="I106" t="s">
        <v>290</v>
      </c>
      <c r="J106" t="s">
        <v>290</v>
      </c>
    </row>
    <row r="107" spans="1:10">
      <c r="A107">
        <v>106</v>
      </c>
      <c r="B107">
        <v>253</v>
      </c>
      <c r="C107">
        <v>254</v>
      </c>
      <c r="D107" t="s">
        <v>415</v>
      </c>
      <c r="E107">
        <v>0.0247071513906121</v>
      </c>
      <c r="F107">
        <v>0.00862867666689486</v>
      </c>
      <c r="G107">
        <v>1</v>
      </c>
      <c r="H107" t="s">
        <v>290</v>
      </c>
      <c r="I107" t="s">
        <v>290</v>
      </c>
      <c r="J107" t="s">
        <v>290</v>
      </c>
    </row>
    <row r="108" spans="1:10">
      <c r="A108">
        <v>107</v>
      </c>
      <c r="B108">
        <v>273</v>
      </c>
      <c r="C108">
        <v>274</v>
      </c>
      <c r="D108" t="s">
        <v>416</v>
      </c>
      <c r="E108">
        <v>0.0239448472857475</v>
      </c>
      <c r="F108">
        <v>0.0118560723959992</v>
      </c>
      <c r="G108">
        <v>0</v>
      </c>
      <c r="H108" t="s">
        <v>290</v>
      </c>
      <c r="I108" t="s">
        <v>290</v>
      </c>
      <c r="J108" t="s">
        <v>290</v>
      </c>
    </row>
    <row r="109" spans="1:10">
      <c r="A109">
        <v>108</v>
      </c>
      <c r="B109">
        <v>277</v>
      </c>
      <c r="C109">
        <v>278</v>
      </c>
      <c r="D109" t="s">
        <v>417</v>
      </c>
      <c r="E109">
        <v>0.0239448457956314</v>
      </c>
      <c r="F109">
        <v>0.0118560725678709</v>
      </c>
      <c r="G109">
        <v>0</v>
      </c>
      <c r="H109" t="s">
        <v>290</v>
      </c>
      <c r="I109" t="s">
        <v>290</v>
      </c>
      <c r="J109" t="s">
        <v>290</v>
      </c>
    </row>
    <row r="110" spans="1:10">
      <c r="A110">
        <v>109</v>
      </c>
      <c r="B110">
        <v>115</v>
      </c>
      <c r="C110">
        <v>116</v>
      </c>
      <c r="D110" t="s">
        <v>418</v>
      </c>
      <c r="E110">
        <v>0.0239014465827495</v>
      </c>
      <c r="F110">
        <v>0.017704306430756</v>
      </c>
      <c r="G110">
        <v>1</v>
      </c>
      <c r="H110" t="s">
        <v>290</v>
      </c>
      <c r="I110" t="s">
        <v>290</v>
      </c>
      <c r="J110" t="s">
        <v>290</v>
      </c>
    </row>
    <row r="111" spans="1:10">
      <c r="A111">
        <v>110</v>
      </c>
      <c r="B111">
        <v>241</v>
      </c>
      <c r="C111">
        <v>242</v>
      </c>
      <c r="D111" t="s">
        <v>419</v>
      </c>
      <c r="E111">
        <v>0.0207161091733724</v>
      </c>
      <c r="F111">
        <v>0.0121191888231661</v>
      </c>
      <c r="G111">
        <v>0</v>
      </c>
      <c r="H111" t="s">
        <v>290</v>
      </c>
      <c r="I111" t="s">
        <v>290</v>
      </c>
      <c r="J111" t="s">
        <v>290</v>
      </c>
    </row>
    <row r="112" spans="1:10">
      <c r="A112">
        <v>111</v>
      </c>
      <c r="B112">
        <v>7</v>
      </c>
      <c r="C112">
        <v>8</v>
      </c>
      <c r="D112" t="s">
        <v>420</v>
      </c>
      <c r="E112">
        <v>0.0193799902684987</v>
      </c>
      <c r="F112">
        <v>0.014256107078368</v>
      </c>
      <c r="G112">
        <v>0</v>
      </c>
      <c r="H112" t="s">
        <v>290</v>
      </c>
      <c r="I112" t="s">
        <v>290</v>
      </c>
      <c r="J112" t="s">
        <v>290</v>
      </c>
    </row>
    <row r="113" spans="1:10">
      <c r="A113">
        <v>112</v>
      </c>
      <c r="B113">
        <v>49</v>
      </c>
      <c r="C113">
        <v>50</v>
      </c>
      <c r="D113" t="s">
        <v>421</v>
      </c>
      <c r="E113">
        <v>0.019130402058363</v>
      </c>
      <c r="F113">
        <v>0.0113620881734669</v>
      </c>
      <c r="G113">
        <v>0</v>
      </c>
      <c r="H113" t="s">
        <v>290</v>
      </c>
      <c r="I113" t="s">
        <v>290</v>
      </c>
      <c r="J113" t="s">
        <v>290</v>
      </c>
    </row>
    <row r="114" spans="1:10">
      <c r="A114">
        <v>113</v>
      </c>
      <c r="B114">
        <v>6</v>
      </c>
      <c r="C114">
        <v>7</v>
      </c>
      <c r="D114" t="s">
        <v>422</v>
      </c>
      <c r="E114">
        <v>0.0189231814816594</v>
      </c>
      <c r="F114">
        <v>0.0132165933419303</v>
      </c>
      <c r="G114">
        <v>0</v>
      </c>
      <c r="H114" t="s">
        <v>290</v>
      </c>
      <c r="I114" t="s">
        <v>290</v>
      </c>
      <c r="J114" t="s">
        <v>290</v>
      </c>
    </row>
    <row r="115" spans="1:10">
      <c r="A115">
        <v>114</v>
      </c>
      <c r="B115">
        <v>146</v>
      </c>
      <c r="C115">
        <v>147</v>
      </c>
      <c r="D115" t="s">
        <v>423</v>
      </c>
      <c r="E115">
        <v>0.017593022948131</v>
      </c>
      <c r="F115">
        <v>0.0103390337864884</v>
      </c>
      <c r="G115">
        <v>0</v>
      </c>
      <c r="H115" t="s">
        <v>290</v>
      </c>
      <c r="I115" t="s">
        <v>290</v>
      </c>
      <c r="J115" t="s">
        <v>290</v>
      </c>
    </row>
    <row r="116" spans="1:10">
      <c r="A116">
        <v>115</v>
      </c>
      <c r="B116">
        <v>92</v>
      </c>
      <c r="C116">
        <v>93</v>
      </c>
      <c r="D116" t="s">
        <v>424</v>
      </c>
      <c r="E116">
        <v>0.0174477135762572</v>
      </c>
      <c r="F116">
        <v>0.00991615407034482</v>
      </c>
      <c r="G116">
        <v>0</v>
      </c>
      <c r="H116" t="s">
        <v>290</v>
      </c>
      <c r="I116" t="s">
        <v>290</v>
      </c>
      <c r="J116" t="s">
        <v>290</v>
      </c>
    </row>
    <row r="117" spans="1:10">
      <c r="A117">
        <v>116</v>
      </c>
      <c r="B117">
        <v>258</v>
      </c>
      <c r="C117">
        <v>259</v>
      </c>
      <c r="D117" t="s">
        <v>425</v>
      </c>
      <c r="E117">
        <v>0.0152496979339048</v>
      </c>
      <c r="F117">
        <v>0.0116839726862488</v>
      </c>
      <c r="G117">
        <v>0</v>
      </c>
      <c r="H117" t="s">
        <v>290</v>
      </c>
      <c r="I117" t="s">
        <v>290</v>
      </c>
      <c r="J117" t="s">
        <v>290</v>
      </c>
    </row>
    <row r="118" spans="1:10">
      <c r="A118">
        <v>117</v>
      </c>
      <c r="B118">
        <v>251</v>
      </c>
      <c r="C118">
        <v>252</v>
      </c>
      <c r="D118" t="s">
        <v>426</v>
      </c>
      <c r="E118">
        <v>0.0137598213972524</v>
      </c>
      <c r="F118">
        <v>0.00917923086726316</v>
      </c>
      <c r="G118">
        <v>0</v>
      </c>
      <c r="H118" t="s">
        <v>290</v>
      </c>
      <c r="I118" t="s">
        <v>290</v>
      </c>
      <c r="J118" t="s">
        <v>290</v>
      </c>
    </row>
    <row r="119" spans="1:10">
      <c r="A119">
        <v>118</v>
      </c>
      <c r="B119">
        <v>1</v>
      </c>
      <c r="C119">
        <v>2</v>
      </c>
      <c r="D119" t="s">
        <v>427</v>
      </c>
      <c r="E119">
        <v>0.0118442260660231</v>
      </c>
      <c r="F119">
        <v>0.00818655253476018</v>
      </c>
      <c r="G119">
        <v>0</v>
      </c>
      <c r="H119" t="s">
        <v>290</v>
      </c>
      <c r="I119" t="s">
        <v>290</v>
      </c>
      <c r="J119" t="s">
        <v>290</v>
      </c>
    </row>
    <row r="120" spans="1:10">
      <c r="A120">
        <v>119</v>
      </c>
      <c r="B120">
        <v>123</v>
      </c>
      <c r="C120">
        <v>124</v>
      </c>
      <c r="D120" t="s">
        <v>428</v>
      </c>
      <c r="E120">
        <v>0.0118268700432964</v>
      </c>
      <c r="F120">
        <v>0.00986120311259108</v>
      </c>
      <c r="G120">
        <v>0</v>
      </c>
      <c r="H120" t="s">
        <v>290</v>
      </c>
      <c r="I120" t="s">
        <v>290</v>
      </c>
      <c r="J120" t="s">
        <v>290</v>
      </c>
    </row>
    <row r="121" spans="1:10">
      <c r="A121">
        <v>120</v>
      </c>
      <c r="B121">
        <v>14</v>
      </c>
      <c r="C121">
        <v>15</v>
      </c>
      <c r="D121" t="s">
        <v>429</v>
      </c>
      <c r="E121">
        <v>0.0117207469185814</v>
      </c>
      <c r="F121">
        <v>0.00853053162066196</v>
      </c>
      <c r="G121">
        <v>0</v>
      </c>
      <c r="H121" t="s">
        <v>290</v>
      </c>
      <c r="I121" t="s">
        <v>290</v>
      </c>
      <c r="J121" t="s">
        <v>290</v>
      </c>
    </row>
    <row r="122" spans="1:10">
      <c r="A122">
        <v>121</v>
      </c>
      <c r="B122">
        <v>53</v>
      </c>
      <c r="C122">
        <v>54</v>
      </c>
      <c r="D122" t="s">
        <v>430</v>
      </c>
      <c r="E122">
        <v>0.0106808668002486</v>
      </c>
      <c r="F122">
        <v>0.00925889239137286</v>
      </c>
      <c r="G122">
        <v>0</v>
      </c>
      <c r="H122" t="s">
        <v>290</v>
      </c>
      <c r="I122" t="s">
        <v>290</v>
      </c>
      <c r="J122" t="s">
        <v>290</v>
      </c>
    </row>
    <row r="123" spans="1:10">
      <c r="A123">
        <v>122</v>
      </c>
      <c r="B123">
        <v>22</v>
      </c>
      <c r="C123">
        <v>23</v>
      </c>
      <c r="D123" t="s">
        <v>431</v>
      </c>
      <c r="E123">
        <v>0.0103786999359727</v>
      </c>
      <c r="F123">
        <v>0.00399163896741469</v>
      </c>
      <c r="G123">
        <v>0</v>
      </c>
      <c r="H123" t="s">
        <v>290</v>
      </c>
      <c r="I123" t="s">
        <v>290</v>
      </c>
      <c r="J123" t="s">
        <v>290</v>
      </c>
    </row>
    <row r="124" spans="1:10">
      <c r="A124">
        <v>123</v>
      </c>
      <c r="B124">
        <v>12</v>
      </c>
      <c r="C124">
        <v>13</v>
      </c>
      <c r="D124" t="s">
        <v>432</v>
      </c>
      <c r="E124">
        <v>0.00992526059271768</v>
      </c>
      <c r="F124">
        <v>0.00918528112330662</v>
      </c>
      <c r="G124">
        <v>0</v>
      </c>
      <c r="H124" t="s">
        <v>290</v>
      </c>
      <c r="I124" t="s">
        <v>290</v>
      </c>
      <c r="J124" t="s">
        <v>290</v>
      </c>
    </row>
    <row r="125" spans="1:10">
      <c r="A125">
        <v>124</v>
      </c>
      <c r="B125">
        <v>199</v>
      </c>
      <c r="C125">
        <v>200</v>
      </c>
      <c r="D125" t="s">
        <v>433</v>
      </c>
      <c r="E125">
        <v>0.00893740648170933</v>
      </c>
      <c r="F125">
        <v>0.008261361877359</v>
      </c>
      <c r="G125">
        <v>0</v>
      </c>
      <c r="H125" t="s">
        <v>290</v>
      </c>
      <c r="I125" t="s">
        <v>290</v>
      </c>
      <c r="J125" t="s">
        <v>290</v>
      </c>
    </row>
    <row r="126" spans="1:10">
      <c r="A126">
        <v>125</v>
      </c>
      <c r="B126">
        <v>211</v>
      </c>
      <c r="C126">
        <v>212</v>
      </c>
      <c r="D126" t="s">
        <v>434</v>
      </c>
      <c r="E126">
        <v>0.00893740559695289</v>
      </c>
      <c r="F126">
        <v>0.00826136168229495</v>
      </c>
      <c r="G126">
        <v>0</v>
      </c>
      <c r="H126" t="s">
        <v>290</v>
      </c>
      <c r="I126" t="s">
        <v>290</v>
      </c>
      <c r="J126" t="s">
        <v>290</v>
      </c>
    </row>
    <row r="127" spans="1:10">
      <c r="A127">
        <v>126</v>
      </c>
      <c r="B127">
        <v>212</v>
      </c>
      <c r="C127">
        <v>213</v>
      </c>
      <c r="D127" t="s">
        <v>435</v>
      </c>
      <c r="E127">
        <v>0.00893740559695289</v>
      </c>
      <c r="F127">
        <v>0.00826136168229495</v>
      </c>
      <c r="G127">
        <v>0</v>
      </c>
      <c r="H127" t="s">
        <v>290</v>
      </c>
      <c r="I127" t="s">
        <v>290</v>
      </c>
      <c r="J127" t="s">
        <v>290</v>
      </c>
    </row>
    <row r="128" spans="1:10">
      <c r="A128">
        <v>127</v>
      </c>
      <c r="B128">
        <v>236</v>
      </c>
      <c r="C128">
        <v>237</v>
      </c>
      <c r="D128" t="s">
        <v>436</v>
      </c>
      <c r="E128">
        <v>0.00893740550382063</v>
      </c>
      <c r="F128">
        <v>0.00826136165056658</v>
      </c>
      <c r="G128">
        <v>0</v>
      </c>
      <c r="H128" t="s">
        <v>290</v>
      </c>
      <c r="I128" t="s">
        <v>290</v>
      </c>
      <c r="J128" t="s">
        <v>290</v>
      </c>
    </row>
    <row r="129" spans="1:10">
      <c r="A129">
        <v>128</v>
      </c>
      <c r="B129">
        <v>237</v>
      </c>
      <c r="C129">
        <v>238</v>
      </c>
      <c r="D129" t="s">
        <v>437</v>
      </c>
      <c r="E129">
        <v>0.00893740550382063</v>
      </c>
      <c r="F129">
        <v>0.00826136165056658</v>
      </c>
      <c r="G129">
        <v>0</v>
      </c>
      <c r="H129" t="s">
        <v>290</v>
      </c>
      <c r="I129" t="s">
        <v>290</v>
      </c>
      <c r="J129" t="s">
        <v>290</v>
      </c>
    </row>
    <row r="130" spans="1:10">
      <c r="A130">
        <v>129</v>
      </c>
      <c r="B130">
        <v>149</v>
      </c>
      <c r="C130">
        <v>150</v>
      </c>
      <c r="D130" t="s">
        <v>438</v>
      </c>
      <c r="E130">
        <v>0.00893740496831015</v>
      </c>
      <c r="F130">
        <v>0.00826136074387379</v>
      </c>
      <c r="G130">
        <v>0</v>
      </c>
      <c r="H130" t="s">
        <v>290</v>
      </c>
      <c r="I130" t="s">
        <v>290</v>
      </c>
      <c r="J130" t="s">
        <v>290</v>
      </c>
    </row>
    <row r="131" spans="1:10">
      <c r="A131">
        <v>130</v>
      </c>
      <c r="B131">
        <v>180</v>
      </c>
      <c r="C131">
        <v>181</v>
      </c>
      <c r="D131" t="s">
        <v>439</v>
      </c>
      <c r="E131">
        <v>0.00893740485189482</v>
      </c>
      <c r="F131">
        <v>0.00826136002412586</v>
      </c>
      <c r="G131">
        <v>0</v>
      </c>
      <c r="H131" t="s">
        <v>290</v>
      </c>
      <c r="I131" t="s">
        <v>290</v>
      </c>
      <c r="J131" t="s">
        <v>290</v>
      </c>
    </row>
    <row r="132" spans="1:10">
      <c r="A132">
        <v>131</v>
      </c>
      <c r="B132">
        <v>138</v>
      </c>
      <c r="C132">
        <v>139</v>
      </c>
      <c r="D132" t="s">
        <v>440</v>
      </c>
      <c r="E132">
        <v>0.00893740457249805</v>
      </c>
      <c r="F132">
        <v>0.00826136049459086</v>
      </c>
      <c r="G132">
        <v>0</v>
      </c>
      <c r="H132" t="s">
        <v>290</v>
      </c>
      <c r="I132" t="s">
        <v>290</v>
      </c>
      <c r="J132" t="s">
        <v>290</v>
      </c>
    </row>
    <row r="133" spans="1:10">
      <c r="A133">
        <v>132</v>
      </c>
      <c r="B133">
        <v>186</v>
      </c>
      <c r="C133">
        <v>187</v>
      </c>
      <c r="D133" t="s">
        <v>441</v>
      </c>
      <c r="E133">
        <v>0.00893740429310128</v>
      </c>
      <c r="F133">
        <v>0.00826135911852189</v>
      </c>
      <c r="G133">
        <v>0</v>
      </c>
      <c r="H133" t="s">
        <v>290</v>
      </c>
      <c r="I133" t="s">
        <v>290</v>
      </c>
      <c r="J133" t="s">
        <v>290</v>
      </c>
    </row>
    <row r="134" spans="1:10">
      <c r="A134">
        <v>133</v>
      </c>
      <c r="B134">
        <v>169</v>
      </c>
      <c r="C134">
        <v>170</v>
      </c>
      <c r="D134" t="s">
        <v>442</v>
      </c>
      <c r="E134">
        <v>0.00893740345491096</v>
      </c>
      <c r="F134">
        <v>0.00826135843659273</v>
      </c>
      <c r="G134">
        <v>0</v>
      </c>
      <c r="H134" t="s">
        <v>290</v>
      </c>
      <c r="I134" t="s">
        <v>290</v>
      </c>
      <c r="J134" t="s">
        <v>290</v>
      </c>
    </row>
    <row r="135" spans="1:10">
      <c r="A135">
        <v>134</v>
      </c>
      <c r="B135">
        <v>52</v>
      </c>
      <c r="C135">
        <v>53</v>
      </c>
      <c r="D135" t="s">
        <v>443</v>
      </c>
      <c r="E135">
        <v>0.00830726961139589</v>
      </c>
      <c r="F135">
        <v>0.00758230210131386</v>
      </c>
      <c r="G135">
        <v>0</v>
      </c>
      <c r="H135" t="s">
        <v>290</v>
      </c>
      <c r="I135" t="s">
        <v>290</v>
      </c>
      <c r="J135" t="s">
        <v>290</v>
      </c>
    </row>
    <row r="136" spans="1:10">
      <c r="A136">
        <v>135</v>
      </c>
      <c r="B136">
        <v>64</v>
      </c>
      <c r="C136">
        <v>65</v>
      </c>
      <c r="D136" t="s">
        <v>444</v>
      </c>
      <c r="E136">
        <v>0.00797384204342961</v>
      </c>
      <c r="F136">
        <v>0.00649916763263862</v>
      </c>
      <c r="G136">
        <v>0</v>
      </c>
      <c r="H136" t="s">
        <v>290</v>
      </c>
      <c r="I136" t="s">
        <v>290</v>
      </c>
      <c r="J136" t="s">
        <v>290</v>
      </c>
    </row>
    <row r="137" spans="1:10">
      <c r="A137">
        <v>136</v>
      </c>
      <c r="B137">
        <v>20</v>
      </c>
      <c r="C137">
        <v>21</v>
      </c>
      <c r="D137" t="s">
        <v>445</v>
      </c>
      <c r="E137">
        <v>0.0076988376211375</v>
      </c>
      <c r="F137">
        <v>0.00546974785605234</v>
      </c>
      <c r="G137">
        <v>0</v>
      </c>
      <c r="H137" t="s">
        <v>290</v>
      </c>
      <c r="I137" t="s">
        <v>290</v>
      </c>
      <c r="J137" t="s">
        <v>290</v>
      </c>
    </row>
    <row r="138" spans="1:10">
      <c r="A138">
        <v>137</v>
      </c>
      <c r="B138">
        <v>265</v>
      </c>
      <c r="C138">
        <v>266</v>
      </c>
      <c r="D138" t="s">
        <v>446</v>
      </c>
      <c r="E138">
        <v>0.00754649065784179</v>
      </c>
      <c r="F138">
        <v>0.0071347330220961</v>
      </c>
      <c r="G138">
        <v>0</v>
      </c>
      <c r="H138" t="s">
        <v>290</v>
      </c>
      <c r="I138" t="s">
        <v>290</v>
      </c>
      <c r="J138" t="s">
        <v>290</v>
      </c>
    </row>
    <row r="139" spans="1:10">
      <c r="A139">
        <v>138</v>
      </c>
      <c r="B139">
        <v>65</v>
      </c>
      <c r="C139">
        <v>66</v>
      </c>
      <c r="D139" t="s">
        <v>447</v>
      </c>
      <c r="E139">
        <v>0.00725518413819373</v>
      </c>
      <c r="F139">
        <v>0.00610900828580823</v>
      </c>
      <c r="G139">
        <v>0</v>
      </c>
      <c r="H139" t="s">
        <v>290</v>
      </c>
      <c r="I139" t="s">
        <v>290</v>
      </c>
      <c r="J139" t="s">
        <v>290</v>
      </c>
    </row>
    <row r="140" spans="1:10">
      <c r="A140">
        <v>139</v>
      </c>
      <c r="B140">
        <v>227</v>
      </c>
      <c r="C140">
        <v>228</v>
      </c>
      <c r="D140" t="s">
        <v>448</v>
      </c>
      <c r="E140">
        <v>0.00719273255672306</v>
      </c>
      <c r="F140">
        <v>0.00458558386693024</v>
      </c>
      <c r="G140">
        <v>0</v>
      </c>
      <c r="H140" t="s">
        <v>290</v>
      </c>
      <c r="I140" t="s">
        <v>290</v>
      </c>
      <c r="J140" t="s">
        <v>290</v>
      </c>
    </row>
    <row r="141" spans="1:10">
      <c r="A141">
        <v>140</v>
      </c>
      <c r="B141">
        <v>129</v>
      </c>
      <c r="C141">
        <v>130</v>
      </c>
      <c r="D141" t="s">
        <v>449</v>
      </c>
      <c r="E141">
        <v>0.00701650866540149</v>
      </c>
      <c r="F141">
        <v>0.00429004694093809</v>
      </c>
      <c r="G141">
        <v>0</v>
      </c>
      <c r="H141" t="s">
        <v>290</v>
      </c>
      <c r="I141" t="s">
        <v>290</v>
      </c>
      <c r="J141" t="s">
        <v>290</v>
      </c>
    </row>
    <row r="142" spans="1:10">
      <c r="A142">
        <v>141</v>
      </c>
      <c r="B142">
        <v>90</v>
      </c>
      <c r="C142">
        <v>91</v>
      </c>
      <c r="D142" t="s">
        <v>450</v>
      </c>
      <c r="E142">
        <v>0.00682639365550131</v>
      </c>
      <c r="F142">
        <v>0.00317942431330102</v>
      </c>
      <c r="G142">
        <v>0</v>
      </c>
      <c r="H142" t="s">
        <v>290</v>
      </c>
      <c r="I142" t="s">
        <v>290</v>
      </c>
      <c r="J142" t="s">
        <v>290</v>
      </c>
    </row>
    <row r="143" spans="1:10">
      <c r="A143">
        <v>142</v>
      </c>
      <c r="B143">
        <v>19</v>
      </c>
      <c r="C143">
        <v>20</v>
      </c>
      <c r="D143" t="s">
        <v>451</v>
      </c>
      <c r="E143">
        <v>0.00682639346923679</v>
      </c>
      <c r="F143">
        <v>0.00317942562141487</v>
      </c>
      <c r="G143">
        <v>0</v>
      </c>
      <c r="H143" t="s">
        <v>290</v>
      </c>
      <c r="I143" t="s">
        <v>290</v>
      </c>
      <c r="J143" t="s">
        <v>290</v>
      </c>
    </row>
    <row r="144" spans="1:10">
      <c r="A144">
        <v>143</v>
      </c>
      <c r="B144">
        <v>198</v>
      </c>
      <c r="C144">
        <v>199</v>
      </c>
      <c r="D144" t="s">
        <v>452</v>
      </c>
      <c r="E144">
        <v>0.00584036854561418</v>
      </c>
      <c r="F144">
        <v>0.00298452992445854</v>
      </c>
      <c r="G144">
        <v>0</v>
      </c>
      <c r="H144" t="s">
        <v>290</v>
      </c>
      <c r="I144" t="s">
        <v>290</v>
      </c>
      <c r="J144" t="s">
        <v>290</v>
      </c>
    </row>
    <row r="145" spans="1:10">
      <c r="A145">
        <v>144</v>
      </c>
      <c r="B145">
        <v>218</v>
      </c>
      <c r="C145">
        <v>219</v>
      </c>
      <c r="D145" t="s">
        <v>453</v>
      </c>
      <c r="E145">
        <v>0.00584036828950048</v>
      </c>
      <c r="F145">
        <v>0.00298452999674735</v>
      </c>
      <c r="G145">
        <v>0</v>
      </c>
      <c r="H145" t="s">
        <v>290</v>
      </c>
      <c r="I145" t="s">
        <v>290</v>
      </c>
      <c r="J145" t="s">
        <v>290</v>
      </c>
    </row>
    <row r="146" spans="1:10">
      <c r="A146">
        <v>145</v>
      </c>
      <c r="B146">
        <v>148</v>
      </c>
      <c r="C146">
        <v>149</v>
      </c>
      <c r="D146" t="s">
        <v>454</v>
      </c>
      <c r="E146">
        <v>0.00584036791697144</v>
      </c>
      <c r="F146">
        <v>0.00298453031088591</v>
      </c>
      <c r="G146">
        <v>0</v>
      </c>
      <c r="H146" t="s">
        <v>290</v>
      </c>
      <c r="I146" t="s">
        <v>290</v>
      </c>
      <c r="J146" t="s">
        <v>290</v>
      </c>
    </row>
    <row r="147" spans="1:10">
      <c r="A147">
        <v>146</v>
      </c>
      <c r="B147">
        <v>235</v>
      </c>
      <c r="C147">
        <v>236</v>
      </c>
      <c r="D147" t="s">
        <v>455</v>
      </c>
      <c r="E147">
        <v>0.00584036773070693</v>
      </c>
      <c r="F147">
        <v>0.00298452990795119</v>
      </c>
      <c r="G147">
        <v>0</v>
      </c>
      <c r="H147" t="s">
        <v>290</v>
      </c>
      <c r="I147" t="s">
        <v>290</v>
      </c>
      <c r="J147" t="s">
        <v>290</v>
      </c>
    </row>
    <row r="148" spans="1:10">
      <c r="A148">
        <v>147</v>
      </c>
      <c r="B148">
        <v>150</v>
      </c>
      <c r="C148">
        <v>151</v>
      </c>
      <c r="D148" t="s">
        <v>456</v>
      </c>
      <c r="E148">
        <v>0.00584036749787629</v>
      </c>
      <c r="F148">
        <v>0.0029845299188682</v>
      </c>
      <c r="G148">
        <v>0</v>
      </c>
      <c r="H148" t="s">
        <v>290</v>
      </c>
      <c r="I148" t="s">
        <v>290</v>
      </c>
      <c r="J148" t="s">
        <v>290</v>
      </c>
    </row>
    <row r="149" spans="1:10">
      <c r="A149">
        <v>148</v>
      </c>
      <c r="B149">
        <v>152</v>
      </c>
      <c r="C149">
        <v>153</v>
      </c>
      <c r="D149" t="s">
        <v>457</v>
      </c>
      <c r="E149">
        <v>0.00584036749787629</v>
      </c>
      <c r="F149">
        <v>0.0029845299188682</v>
      </c>
      <c r="G149">
        <v>0</v>
      </c>
      <c r="H149" t="s">
        <v>290</v>
      </c>
      <c r="I149" t="s">
        <v>290</v>
      </c>
      <c r="J149" t="s">
        <v>290</v>
      </c>
    </row>
    <row r="150" spans="1:10">
      <c r="A150">
        <v>149</v>
      </c>
      <c r="B150">
        <v>21</v>
      </c>
      <c r="C150">
        <v>22</v>
      </c>
      <c r="D150" t="s">
        <v>458</v>
      </c>
      <c r="E150">
        <v>0.00573361580027267</v>
      </c>
      <c r="F150">
        <v>0.00340866481856697</v>
      </c>
      <c r="G150">
        <v>0</v>
      </c>
      <c r="H150" t="s">
        <v>290</v>
      </c>
      <c r="I150" t="s">
        <v>290</v>
      </c>
      <c r="J150" t="s">
        <v>290</v>
      </c>
    </row>
    <row r="151" spans="1:10">
      <c r="A151">
        <v>150</v>
      </c>
      <c r="B151">
        <v>18</v>
      </c>
      <c r="C151">
        <v>19</v>
      </c>
      <c r="D151" t="s">
        <v>459</v>
      </c>
      <c r="E151">
        <v>0.00573361556744203</v>
      </c>
      <c r="F151">
        <v>0.00340866476504933</v>
      </c>
      <c r="G151">
        <v>0</v>
      </c>
      <c r="H151" t="s">
        <v>290</v>
      </c>
      <c r="I151" t="s">
        <v>290</v>
      </c>
      <c r="J151" t="s">
        <v>290</v>
      </c>
    </row>
    <row r="152" spans="1:10">
      <c r="A152">
        <v>151</v>
      </c>
      <c r="B152">
        <v>56</v>
      </c>
      <c r="C152">
        <v>57</v>
      </c>
      <c r="D152" t="s">
        <v>460</v>
      </c>
      <c r="E152">
        <v>0.00550471540773287</v>
      </c>
      <c r="F152">
        <v>0.005205767644944</v>
      </c>
      <c r="G152">
        <v>0</v>
      </c>
      <c r="H152" t="s">
        <v>290</v>
      </c>
      <c r="I152" t="s">
        <v>290</v>
      </c>
      <c r="J152" t="s">
        <v>290</v>
      </c>
    </row>
    <row r="153" spans="1:10">
      <c r="A153">
        <v>152</v>
      </c>
      <c r="B153">
        <v>283</v>
      </c>
      <c r="C153">
        <v>284</v>
      </c>
      <c r="D153" t="s">
        <v>461</v>
      </c>
      <c r="E153">
        <v>0.00499498668941669</v>
      </c>
      <c r="F153">
        <v>0.00391052782073353</v>
      </c>
      <c r="G153">
        <v>0</v>
      </c>
      <c r="H153" t="s">
        <v>290</v>
      </c>
      <c r="I153" t="s">
        <v>290</v>
      </c>
      <c r="J153" t="s">
        <v>290</v>
      </c>
    </row>
    <row r="154" spans="1:10">
      <c r="A154">
        <v>153</v>
      </c>
      <c r="B154">
        <v>282</v>
      </c>
      <c r="C154">
        <v>283</v>
      </c>
      <c r="D154" t="s">
        <v>462</v>
      </c>
      <c r="E154">
        <v>0.00499498668941669</v>
      </c>
      <c r="F154">
        <v>0.00391052782073353</v>
      </c>
      <c r="G154">
        <v>0</v>
      </c>
      <c r="H154" t="s">
        <v>290</v>
      </c>
      <c r="I154" t="s">
        <v>290</v>
      </c>
      <c r="J154" t="s">
        <v>290</v>
      </c>
    </row>
    <row r="155" spans="1:10">
      <c r="A155">
        <v>154</v>
      </c>
      <c r="B155">
        <v>284</v>
      </c>
      <c r="C155">
        <v>285</v>
      </c>
      <c r="D155" t="s">
        <v>463</v>
      </c>
      <c r="E155">
        <v>0.00499498668941669</v>
      </c>
      <c r="F155">
        <v>0.00391052782073353</v>
      </c>
      <c r="G155">
        <v>0</v>
      </c>
      <c r="H155" t="s">
        <v>290</v>
      </c>
      <c r="I155" t="s">
        <v>290</v>
      </c>
      <c r="J155" t="s">
        <v>290</v>
      </c>
    </row>
    <row r="156" spans="1:10">
      <c r="A156">
        <v>155</v>
      </c>
      <c r="B156">
        <v>264</v>
      </c>
      <c r="C156">
        <v>265</v>
      </c>
      <c r="D156" t="s">
        <v>464</v>
      </c>
      <c r="E156">
        <v>0.00476937799830921</v>
      </c>
      <c r="F156">
        <v>0.00517892247093752</v>
      </c>
      <c r="G156">
        <v>0</v>
      </c>
      <c r="H156" t="s">
        <v>290</v>
      </c>
      <c r="I156" t="s">
        <v>290</v>
      </c>
      <c r="J156" t="s">
        <v>290</v>
      </c>
    </row>
    <row r="157" spans="1:10">
      <c r="A157">
        <v>156</v>
      </c>
      <c r="B157">
        <v>263</v>
      </c>
      <c r="C157">
        <v>264</v>
      </c>
      <c r="D157" t="s">
        <v>465</v>
      </c>
      <c r="E157">
        <v>0.00476937799830921</v>
      </c>
      <c r="F157">
        <v>0.00517892247093752</v>
      </c>
      <c r="G157">
        <v>0</v>
      </c>
      <c r="H157" t="s">
        <v>290</v>
      </c>
      <c r="I157" t="s">
        <v>290</v>
      </c>
      <c r="J157" t="s">
        <v>290</v>
      </c>
    </row>
    <row r="158" spans="1:10">
      <c r="A158">
        <v>157</v>
      </c>
      <c r="B158">
        <v>221</v>
      </c>
      <c r="C158">
        <v>222</v>
      </c>
      <c r="D158" t="s">
        <v>466</v>
      </c>
      <c r="E158">
        <v>0.00365455350838602</v>
      </c>
      <c r="F158">
        <v>0.00252650875822727</v>
      </c>
      <c r="G158">
        <v>0</v>
      </c>
      <c r="H158" t="s">
        <v>290</v>
      </c>
      <c r="I158" t="s">
        <v>290</v>
      </c>
      <c r="J158" t="s">
        <v>290</v>
      </c>
    </row>
    <row r="159" spans="1:10">
      <c r="A159">
        <v>158</v>
      </c>
      <c r="B159">
        <v>234</v>
      </c>
      <c r="C159">
        <v>235</v>
      </c>
      <c r="D159" t="s">
        <v>467</v>
      </c>
      <c r="E159">
        <v>0.00348383703967556</v>
      </c>
      <c r="F159">
        <v>0.00245115706919345</v>
      </c>
      <c r="G159">
        <v>0</v>
      </c>
      <c r="H159" t="s">
        <v>290</v>
      </c>
      <c r="I159" t="s">
        <v>290</v>
      </c>
      <c r="J159" t="s">
        <v>290</v>
      </c>
    </row>
    <row r="160" spans="1:10">
      <c r="A160">
        <v>159</v>
      </c>
      <c r="B160">
        <v>13</v>
      </c>
      <c r="C160">
        <v>14</v>
      </c>
      <c r="D160" t="s">
        <v>468</v>
      </c>
      <c r="E160">
        <v>0.00261349180073012</v>
      </c>
      <c r="F160">
        <v>0.00197307201012637</v>
      </c>
      <c r="G160">
        <v>0</v>
      </c>
      <c r="H160" t="s">
        <v>290</v>
      </c>
      <c r="I160" t="s">
        <v>290</v>
      </c>
      <c r="J160" t="s">
        <v>290</v>
      </c>
    </row>
    <row r="161" spans="1:10">
      <c r="A161">
        <v>160</v>
      </c>
      <c r="B161">
        <v>266</v>
      </c>
      <c r="C161">
        <v>267</v>
      </c>
      <c r="D161" t="s">
        <v>469</v>
      </c>
      <c r="E161">
        <v>0.00224606088013388</v>
      </c>
      <c r="F161">
        <v>0.00150588837994901</v>
      </c>
      <c r="G161">
        <v>0</v>
      </c>
      <c r="H161" t="s">
        <v>290</v>
      </c>
      <c r="I161" t="s">
        <v>290</v>
      </c>
      <c r="J161" t="s">
        <v>290</v>
      </c>
    </row>
    <row r="162" spans="1:10">
      <c r="A162">
        <v>161</v>
      </c>
      <c r="B162">
        <v>243</v>
      </c>
      <c r="C162">
        <v>244</v>
      </c>
      <c r="D162" t="s">
        <v>470</v>
      </c>
      <c r="E162">
        <v>0.00198074458749034</v>
      </c>
      <c r="F162">
        <v>0.00152794619671353</v>
      </c>
      <c r="G162">
        <v>0</v>
      </c>
      <c r="H162" t="s">
        <v>290</v>
      </c>
      <c r="I162" t="s">
        <v>290</v>
      </c>
      <c r="J162" t="s">
        <v>290</v>
      </c>
    </row>
    <row r="163" spans="1:10">
      <c r="A163">
        <v>162</v>
      </c>
      <c r="B163">
        <v>261</v>
      </c>
      <c r="C163">
        <v>262</v>
      </c>
      <c r="D163" t="s">
        <v>471</v>
      </c>
      <c r="E163">
        <v>0.00142448094557039</v>
      </c>
      <c r="F163">
        <v>0.000985190433020137</v>
      </c>
      <c r="G163">
        <v>0</v>
      </c>
      <c r="H163" t="s">
        <v>290</v>
      </c>
      <c r="I163" t="s">
        <v>290</v>
      </c>
      <c r="J163" t="s">
        <v>290</v>
      </c>
    </row>
    <row r="164" spans="1:10">
      <c r="A164">
        <v>163</v>
      </c>
      <c r="B164">
        <v>51</v>
      </c>
      <c r="C164">
        <v>52</v>
      </c>
      <c r="D164" t="s">
        <v>472</v>
      </c>
      <c r="E164">
        <v>0.00142448090482503</v>
      </c>
      <c r="F164">
        <v>0.000985190325819325</v>
      </c>
      <c r="G164">
        <v>0</v>
      </c>
      <c r="H164" t="s">
        <v>290</v>
      </c>
      <c r="I164" t="s">
        <v>290</v>
      </c>
      <c r="J164" t="s">
        <v>290</v>
      </c>
    </row>
    <row r="165" spans="1:10">
      <c r="A165">
        <v>164</v>
      </c>
      <c r="B165">
        <v>156</v>
      </c>
      <c r="C165">
        <v>157</v>
      </c>
      <c r="D165" t="s">
        <v>473</v>
      </c>
      <c r="E165">
        <v>0.000103874604246812</v>
      </c>
      <c r="F165">
        <v>8.35688394396987e-5</v>
      </c>
      <c r="G165">
        <v>0</v>
      </c>
      <c r="H165" t="s">
        <v>290</v>
      </c>
      <c r="I165" t="s">
        <v>290</v>
      </c>
      <c r="J165" t="s">
        <v>290</v>
      </c>
    </row>
    <row r="166" spans="1:10">
      <c r="A166">
        <v>165</v>
      </c>
      <c r="B166">
        <v>155</v>
      </c>
      <c r="C166">
        <v>156</v>
      </c>
      <c r="D166" t="s">
        <v>474</v>
      </c>
      <c r="E166">
        <v>0.000103874604246812</v>
      </c>
      <c r="F166">
        <v>8.35688394396987e-5</v>
      </c>
      <c r="G166">
        <v>0</v>
      </c>
      <c r="H166" t="s">
        <v>290</v>
      </c>
      <c r="I166" t="s">
        <v>290</v>
      </c>
      <c r="J166" t="s">
        <v>290</v>
      </c>
    </row>
    <row r="167" spans="1:10">
      <c r="A167">
        <v>166</v>
      </c>
      <c r="B167">
        <v>196</v>
      </c>
      <c r="C167">
        <v>197</v>
      </c>
      <c r="D167" t="s">
        <v>475</v>
      </c>
      <c r="E167">
        <v>0.000103874603155418</v>
      </c>
      <c r="F167">
        <v>8.35688418825769e-5</v>
      </c>
      <c r="G167">
        <v>0</v>
      </c>
      <c r="H167" t="s">
        <v>290</v>
      </c>
      <c r="I167" t="s">
        <v>290</v>
      </c>
      <c r="J167" t="s">
        <v>290</v>
      </c>
    </row>
    <row r="168" spans="1:10">
      <c r="A168">
        <v>167</v>
      </c>
      <c r="B168">
        <v>191</v>
      </c>
      <c r="C168">
        <v>192</v>
      </c>
      <c r="D168" t="s">
        <v>476</v>
      </c>
      <c r="E168">
        <v>0.000103874603155418</v>
      </c>
      <c r="F168">
        <v>8.35688418825769e-5</v>
      </c>
      <c r="G168">
        <v>0</v>
      </c>
      <c r="H168" t="s">
        <v>290</v>
      </c>
      <c r="I168" t="s">
        <v>290</v>
      </c>
      <c r="J168" t="s">
        <v>290</v>
      </c>
    </row>
    <row r="169" spans="1:10">
      <c r="A169">
        <v>168</v>
      </c>
      <c r="B169">
        <v>217</v>
      </c>
      <c r="C169">
        <v>218</v>
      </c>
      <c r="D169" t="s">
        <v>477</v>
      </c>
      <c r="E169">
        <v>0.000103874603155418</v>
      </c>
      <c r="F169">
        <v>8.35688445453298e-5</v>
      </c>
      <c r="G169">
        <v>0</v>
      </c>
      <c r="H169" t="s">
        <v>290</v>
      </c>
      <c r="I169" t="s">
        <v>290</v>
      </c>
      <c r="J169" t="s">
        <v>290</v>
      </c>
    </row>
    <row r="170" spans="1:10">
      <c r="A170">
        <v>169</v>
      </c>
      <c r="B170">
        <v>192</v>
      </c>
      <c r="C170">
        <v>193</v>
      </c>
      <c r="D170" t="s">
        <v>478</v>
      </c>
      <c r="E170">
        <v>0.000103874603155418</v>
      </c>
      <c r="F170">
        <v>8.35688418825769e-5</v>
      </c>
      <c r="G170">
        <v>0</v>
      </c>
      <c r="H170" t="s">
        <v>290</v>
      </c>
      <c r="I170" t="s">
        <v>290</v>
      </c>
      <c r="J170" t="s">
        <v>290</v>
      </c>
    </row>
    <row r="171" spans="1:10">
      <c r="A171">
        <v>170</v>
      </c>
      <c r="B171">
        <v>202</v>
      </c>
      <c r="C171">
        <v>203</v>
      </c>
      <c r="D171" t="s">
        <v>479</v>
      </c>
      <c r="E171">
        <v>0.000103874596970854</v>
      </c>
      <c r="F171">
        <v>8.35688214053811e-5</v>
      </c>
      <c r="G171">
        <v>0</v>
      </c>
      <c r="H171" t="s">
        <v>290</v>
      </c>
      <c r="I171" t="s">
        <v>290</v>
      </c>
      <c r="J171" t="s">
        <v>290</v>
      </c>
    </row>
    <row r="172" spans="1:10">
      <c r="A172">
        <v>171</v>
      </c>
      <c r="B172">
        <v>204</v>
      </c>
      <c r="C172">
        <v>205</v>
      </c>
      <c r="D172" t="s">
        <v>480</v>
      </c>
      <c r="E172">
        <v>0.000103874596970854</v>
      </c>
      <c r="F172">
        <v>8.35688214053811e-5</v>
      </c>
      <c r="G172">
        <v>0</v>
      </c>
      <c r="H172" t="s">
        <v>290</v>
      </c>
      <c r="I172" t="s">
        <v>290</v>
      </c>
      <c r="J172" t="s">
        <v>290</v>
      </c>
    </row>
    <row r="173" spans="1:10">
      <c r="A173">
        <v>172</v>
      </c>
      <c r="B173">
        <v>203</v>
      </c>
      <c r="C173">
        <v>204</v>
      </c>
      <c r="D173" t="s">
        <v>481</v>
      </c>
      <c r="E173">
        <v>0.000103874596970854</v>
      </c>
      <c r="F173">
        <v>8.35688214053811e-5</v>
      </c>
      <c r="G173">
        <v>0</v>
      </c>
      <c r="H173" t="s">
        <v>290</v>
      </c>
      <c r="I173" t="s">
        <v>290</v>
      </c>
      <c r="J173" t="s">
        <v>290</v>
      </c>
    </row>
    <row r="174" spans="1:10">
      <c r="A174">
        <v>173</v>
      </c>
      <c r="B174">
        <v>179</v>
      </c>
      <c r="C174">
        <v>180</v>
      </c>
      <c r="D174" t="s">
        <v>482</v>
      </c>
      <c r="E174">
        <v>0.000103874596243259</v>
      </c>
      <c r="F174">
        <v>8.35688457108526e-5</v>
      </c>
      <c r="G174">
        <v>0</v>
      </c>
      <c r="H174" t="s">
        <v>290</v>
      </c>
      <c r="I174" t="s">
        <v>290</v>
      </c>
      <c r="J174" t="s">
        <v>290</v>
      </c>
    </row>
    <row r="175" spans="1:10">
      <c r="A175">
        <v>174</v>
      </c>
      <c r="B175">
        <v>208</v>
      </c>
      <c r="C175">
        <v>209</v>
      </c>
      <c r="D175" t="s">
        <v>483</v>
      </c>
      <c r="E175">
        <v>0.000103874592241482</v>
      </c>
      <c r="F175">
        <v>8.35688246329316e-5</v>
      </c>
      <c r="G175">
        <v>0</v>
      </c>
      <c r="H175" t="s">
        <v>290</v>
      </c>
      <c r="I175" t="s">
        <v>290</v>
      </c>
      <c r="J175" t="s">
        <v>290</v>
      </c>
    </row>
    <row r="176" spans="1:10">
      <c r="A176">
        <v>175</v>
      </c>
      <c r="B176">
        <v>215</v>
      </c>
      <c r="C176">
        <v>216</v>
      </c>
      <c r="D176" t="s">
        <v>484</v>
      </c>
      <c r="E176">
        <v>0.00010387458569312</v>
      </c>
      <c r="F176">
        <v>8.35688259675878e-5</v>
      </c>
      <c r="G176">
        <v>0</v>
      </c>
      <c r="H176" t="s">
        <v>290</v>
      </c>
      <c r="I176" t="s">
        <v>290</v>
      </c>
      <c r="J176" t="s">
        <v>290</v>
      </c>
    </row>
    <row r="177" spans="1:10">
      <c r="A177">
        <v>176</v>
      </c>
      <c r="B177">
        <v>213</v>
      </c>
      <c r="C177">
        <v>214</v>
      </c>
      <c r="D177" t="s">
        <v>485</v>
      </c>
      <c r="E177">
        <v>0.00010387458569312</v>
      </c>
      <c r="F177">
        <v>8.35688259675878e-5</v>
      </c>
      <c r="G177">
        <v>0</v>
      </c>
      <c r="H177" t="s">
        <v>290</v>
      </c>
      <c r="I177" t="s">
        <v>290</v>
      </c>
      <c r="J177" t="s">
        <v>290</v>
      </c>
    </row>
    <row r="178" spans="1:10">
      <c r="A178">
        <v>177</v>
      </c>
      <c r="B178">
        <v>140</v>
      </c>
      <c r="C178">
        <v>141</v>
      </c>
      <c r="D178" t="s">
        <v>486</v>
      </c>
      <c r="E178">
        <v>0.00010387458569312</v>
      </c>
      <c r="F178">
        <v>8.35688259675878e-5</v>
      </c>
      <c r="G178">
        <v>0</v>
      </c>
      <c r="H178" t="s">
        <v>290</v>
      </c>
      <c r="I178" t="s">
        <v>290</v>
      </c>
      <c r="J178" t="s">
        <v>290</v>
      </c>
    </row>
    <row r="179" spans="1:10">
      <c r="A179">
        <v>178</v>
      </c>
      <c r="B179">
        <v>141</v>
      </c>
      <c r="C179">
        <v>142</v>
      </c>
      <c r="D179" t="s">
        <v>487</v>
      </c>
      <c r="E179">
        <v>0.00010387458569312</v>
      </c>
      <c r="F179">
        <v>8.35688259675878e-5</v>
      </c>
      <c r="G179">
        <v>0</v>
      </c>
      <c r="H179" t="s">
        <v>290</v>
      </c>
      <c r="I179" t="s">
        <v>290</v>
      </c>
      <c r="J179" t="s">
        <v>290</v>
      </c>
    </row>
    <row r="180" spans="1:10">
      <c r="A180">
        <v>179</v>
      </c>
      <c r="B180">
        <v>182</v>
      </c>
      <c r="C180">
        <v>183</v>
      </c>
      <c r="D180" t="s">
        <v>488</v>
      </c>
      <c r="E180">
        <v>0.000103874583510333</v>
      </c>
      <c r="F180">
        <v>8.35688265683102e-5</v>
      </c>
      <c r="G180">
        <v>0</v>
      </c>
      <c r="H180" t="s">
        <v>290</v>
      </c>
      <c r="I180" t="s">
        <v>290</v>
      </c>
      <c r="J180" t="s">
        <v>290</v>
      </c>
    </row>
    <row r="181" spans="1:10">
      <c r="A181">
        <v>180</v>
      </c>
      <c r="B181">
        <v>127</v>
      </c>
      <c r="C181">
        <v>128</v>
      </c>
      <c r="D181" t="s">
        <v>489</v>
      </c>
      <c r="E181">
        <v>0.000103874583510333</v>
      </c>
      <c r="F181">
        <v>8.35688265683102e-5</v>
      </c>
      <c r="G181">
        <v>0</v>
      </c>
      <c r="H181" t="s">
        <v>290</v>
      </c>
      <c r="I181" t="s">
        <v>290</v>
      </c>
      <c r="J181" t="s">
        <v>290</v>
      </c>
    </row>
    <row r="182" spans="1:10">
      <c r="A182">
        <v>181</v>
      </c>
      <c r="B182">
        <v>164</v>
      </c>
      <c r="C182">
        <v>165</v>
      </c>
      <c r="D182" t="s">
        <v>490</v>
      </c>
      <c r="E182">
        <v>0.000103874583510333</v>
      </c>
      <c r="F182">
        <v>8.35688265683102e-5</v>
      </c>
      <c r="G182">
        <v>0</v>
      </c>
      <c r="H182" t="s">
        <v>290</v>
      </c>
      <c r="I182" t="s">
        <v>290</v>
      </c>
      <c r="J182" t="s">
        <v>290</v>
      </c>
    </row>
    <row r="183" spans="1:10">
      <c r="A183">
        <v>182</v>
      </c>
      <c r="B183">
        <v>130</v>
      </c>
      <c r="C183">
        <v>131</v>
      </c>
      <c r="D183" t="s">
        <v>491</v>
      </c>
      <c r="E183">
        <v>0.000103874580963748</v>
      </c>
      <c r="F183">
        <v>8.35688291951374e-5</v>
      </c>
      <c r="G183">
        <v>0</v>
      </c>
      <c r="H183" t="s">
        <v>290</v>
      </c>
      <c r="I183" t="s">
        <v>290</v>
      </c>
      <c r="J183" t="s">
        <v>290</v>
      </c>
    </row>
    <row r="184" spans="1:10">
      <c r="A184">
        <v>183</v>
      </c>
      <c r="B184">
        <v>167</v>
      </c>
      <c r="C184">
        <v>168</v>
      </c>
      <c r="D184" t="s">
        <v>492</v>
      </c>
      <c r="E184">
        <v>0.000103874580963748</v>
      </c>
      <c r="F184">
        <v>8.35688291951374e-5</v>
      </c>
      <c r="G184">
        <v>0</v>
      </c>
      <c r="H184" t="s">
        <v>290</v>
      </c>
      <c r="I184" t="s">
        <v>290</v>
      </c>
      <c r="J184" t="s">
        <v>290</v>
      </c>
    </row>
    <row r="185" spans="1:10">
      <c r="A185">
        <v>184</v>
      </c>
      <c r="B185">
        <v>131</v>
      </c>
      <c r="C185">
        <v>132</v>
      </c>
      <c r="D185" t="s">
        <v>493</v>
      </c>
      <c r="E185">
        <v>0.000103874580963748</v>
      </c>
      <c r="F185">
        <v>8.35688291951374e-5</v>
      </c>
      <c r="G185">
        <v>0</v>
      </c>
      <c r="H185" t="s">
        <v>290</v>
      </c>
      <c r="I185" t="s">
        <v>290</v>
      </c>
      <c r="J185" t="s">
        <v>290</v>
      </c>
    </row>
    <row r="186" spans="1:10">
      <c r="A186">
        <v>185</v>
      </c>
      <c r="B186">
        <v>187</v>
      </c>
      <c r="C186">
        <v>188</v>
      </c>
      <c r="D186" t="s">
        <v>494</v>
      </c>
      <c r="E186">
        <v>0.000103874580963748</v>
      </c>
      <c r="F186">
        <v>8.35688291951374e-5</v>
      </c>
      <c r="G186">
        <v>0</v>
      </c>
      <c r="H186" t="s">
        <v>290</v>
      </c>
      <c r="I186" t="s">
        <v>290</v>
      </c>
      <c r="J186" t="s">
        <v>290</v>
      </c>
    </row>
    <row r="187" spans="1:10">
      <c r="A187">
        <v>186</v>
      </c>
      <c r="B187">
        <v>133</v>
      </c>
      <c r="C187">
        <v>134</v>
      </c>
      <c r="D187" t="s">
        <v>495</v>
      </c>
      <c r="E187">
        <v>0.000103874580963748</v>
      </c>
      <c r="F187">
        <v>8.35688291951374e-5</v>
      </c>
      <c r="G187">
        <v>0</v>
      </c>
      <c r="H187" t="s">
        <v>290</v>
      </c>
      <c r="I187" t="s">
        <v>290</v>
      </c>
      <c r="J187" t="s">
        <v>290</v>
      </c>
    </row>
    <row r="188" spans="1:10">
      <c r="A188">
        <v>187</v>
      </c>
      <c r="B188">
        <v>200</v>
      </c>
      <c r="C188">
        <v>201</v>
      </c>
      <c r="D188" t="s">
        <v>496</v>
      </c>
      <c r="E188">
        <v>0.000103874579872354</v>
      </c>
      <c r="F188">
        <v>8.3568810769745e-5</v>
      </c>
      <c r="G188">
        <v>0</v>
      </c>
      <c r="H188" t="s">
        <v>290</v>
      </c>
      <c r="I188" t="s">
        <v>290</v>
      </c>
      <c r="J188" t="s">
        <v>290</v>
      </c>
    </row>
    <row r="189" spans="1:10">
      <c r="A189">
        <v>188</v>
      </c>
      <c r="B189">
        <v>238</v>
      </c>
      <c r="C189">
        <v>239</v>
      </c>
      <c r="D189" t="s">
        <v>497</v>
      </c>
      <c r="E189">
        <v>0.00010387457878096</v>
      </c>
      <c r="F189">
        <v>8.35688297958626e-5</v>
      </c>
      <c r="G189">
        <v>0</v>
      </c>
      <c r="H189" t="s">
        <v>290</v>
      </c>
      <c r="I189" t="s">
        <v>290</v>
      </c>
      <c r="J189" t="s">
        <v>290</v>
      </c>
    </row>
    <row r="190" spans="1:10">
      <c r="A190">
        <v>189</v>
      </c>
      <c r="B190">
        <v>239</v>
      </c>
      <c r="C190">
        <v>240</v>
      </c>
      <c r="D190" t="s">
        <v>498</v>
      </c>
      <c r="E190">
        <v>0.00010387457878096</v>
      </c>
      <c r="F190">
        <v>8.35688297958626e-5</v>
      </c>
      <c r="G190">
        <v>0</v>
      </c>
      <c r="H190" t="s">
        <v>290</v>
      </c>
      <c r="I190" t="s">
        <v>290</v>
      </c>
      <c r="J190" t="s">
        <v>290</v>
      </c>
    </row>
    <row r="191" spans="1:10">
      <c r="A191">
        <v>190</v>
      </c>
      <c r="B191">
        <v>240</v>
      </c>
      <c r="C191">
        <v>241</v>
      </c>
      <c r="D191" t="s">
        <v>499</v>
      </c>
      <c r="E191">
        <v>0.00010387457878096</v>
      </c>
      <c r="F191">
        <v>8.35688297958626e-5</v>
      </c>
      <c r="G191">
        <v>0</v>
      </c>
      <c r="H191" t="s">
        <v>290</v>
      </c>
      <c r="I191" t="s">
        <v>290</v>
      </c>
      <c r="J191" t="s">
        <v>290</v>
      </c>
    </row>
    <row r="192" spans="1:10">
      <c r="A192">
        <v>191</v>
      </c>
      <c r="B192">
        <v>144</v>
      </c>
      <c r="C192">
        <v>145</v>
      </c>
      <c r="D192" t="s">
        <v>500</v>
      </c>
      <c r="E192">
        <v>0.000103874576961971</v>
      </c>
      <c r="F192">
        <v>8.35688070346941e-5</v>
      </c>
      <c r="G192">
        <v>0</v>
      </c>
      <c r="H192" t="s">
        <v>290</v>
      </c>
      <c r="I192" t="s">
        <v>290</v>
      </c>
      <c r="J192" t="s">
        <v>290</v>
      </c>
    </row>
    <row r="193" spans="1:10">
      <c r="A193">
        <v>192</v>
      </c>
      <c r="B193">
        <v>252</v>
      </c>
      <c r="C193">
        <v>253</v>
      </c>
      <c r="D193" t="s">
        <v>501</v>
      </c>
      <c r="E193">
        <v>0.000103874576234375</v>
      </c>
      <c r="F193">
        <v>8.35688324226896e-5</v>
      </c>
      <c r="G193">
        <v>0</v>
      </c>
      <c r="H193" t="s">
        <v>290</v>
      </c>
      <c r="I193" t="s">
        <v>290</v>
      </c>
      <c r="J193" t="s">
        <v>290</v>
      </c>
    </row>
    <row r="194" spans="1:10">
      <c r="A194">
        <v>193</v>
      </c>
      <c r="B194">
        <v>245</v>
      </c>
      <c r="C194">
        <v>246</v>
      </c>
      <c r="D194" t="s">
        <v>502</v>
      </c>
      <c r="E194">
        <v>0.000103874576234375</v>
      </c>
      <c r="F194">
        <v>8.35688324226896e-5</v>
      </c>
      <c r="G194">
        <v>0</v>
      </c>
      <c r="H194" t="s">
        <v>290</v>
      </c>
      <c r="I194" t="s">
        <v>290</v>
      </c>
      <c r="J194" t="s">
        <v>290</v>
      </c>
    </row>
    <row r="195" spans="1:10">
      <c r="A195">
        <v>194</v>
      </c>
      <c r="B195">
        <v>75</v>
      </c>
      <c r="C195">
        <v>76</v>
      </c>
      <c r="D195" t="s">
        <v>503</v>
      </c>
      <c r="E195">
        <v>0.000103874576234375</v>
      </c>
      <c r="F195">
        <v>8.35688324226896e-5</v>
      </c>
      <c r="G195">
        <v>0</v>
      </c>
      <c r="H195" t="s">
        <v>290</v>
      </c>
      <c r="I195" t="s">
        <v>290</v>
      </c>
      <c r="J195" t="s">
        <v>290</v>
      </c>
    </row>
    <row r="196" spans="1:10">
      <c r="A196">
        <v>195</v>
      </c>
      <c r="B196">
        <v>246</v>
      </c>
      <c r="C196">
        <v>247</v>
      </c>
      <c r="D196" t="s">
        <v>504</v>
      </c>
      <c r="E196">
        <v>0.000103874576234375</v>
      </c>
      <c r="F196">
        <v>8.35688324226896e-5</v>
      </c>
      <c r="G196">
        <v>0</v>
      </c>
      <c r="H196" t="s">
        <v>290</v>
      </c>
      <c r="I196" t="s">
        <v>290</v>
      </c>
      <c r="J196" t="s">
        <v>290</v>
      </c>
    </row>
    <row r="197" spans="1:10">
      <c r="A197">
        <v>196</v>
      </c>
      <c r="B197">
        <v>74</v>
      </c>
      <c r="C197">
        <v>75</v>
      </c>
      <c r="D197" t="s">
        <v>505</v>
      </c>
      <c r="E197">
        <v>0.000103874576234375</v>
      </c>
      <c r="F197">
        <v>8.35688324226896e-5</v>
      </c>
      <c r="G197">
        <v>0</v>
      </c>
      <c r="H197" t="s">
        <v>290</v>
      </c>
      <c r="I197" t="s">
        <v>290</v>
      </c>
      <c r="J197" t="s">
        <v>290</v>
      </c>
    </row>
    <row r="198" spans="1:10">
      <c r="A198">
        <v>197</v>
      </c>
      <c r="B198">
        <v>151</v>
      </c>
      <c r="C198">
        <v>152</v>
      </c>
      <c r="D198" t="s">
        <v>506</v>
      </c>
      <c r="E198">
        <v>0.000103874568958418</v>
      </c>
      <c r="F198">
        <v>8.35688133058445e-5</v>
      </c>
      <c r="G198">
        <v>0</v>
      </c>
      <c r="H198" t="s">
        <v>290</v>
      </c>
      <c r="I198" t="s">
        <v>290</v>
      </c>
      <c r="J198" t="s">
        <v>290</v>
      </c>
    </row>
    <row r="199" spans="1:10">
      <c r="A199">
        <v>198</v>
      </c>
      <c r="B199">
        <v>175</v>
      </c>
      <c r="C199">
        <v>176</v>
      </c>
      <c r="D199" t="s">
        <v>507</v>
      </c>
      <c r="E199">
        <v>0.00010387456168246</v>
      </c>
      <c r="F199">
        <v>8.35688191602234e-5</v>
      </c>
      <c r="G199">
        <v>0</v>
      </c>
      <c r="H199" t="s">
        <v>290</v>
      </c>
      <c r="I199" t="s">
        <v>290</v>
      </c>
      <c r="J199" t="s">
        <v>290</v>
      </c>
    </row>
    <row r="200" spans="1:10">
      <c r="A200">
        <v>199</v>
      </c>
      <c r="B200">
        <v>171</v>
      </c>
      <c r="C200">
        <v>172</v>
      </c>
      <c r="D200" t="s">
        <v>508</v>
      </c>
      <c r="E200">
        <v>0.00010387456168246</v>
      </c>
      <c r="F200">
        <v>8.35688191602234e-5</v>
      </c>
      <c r="G200">
        <v>0</v>
      </c>
      <c r="H200" t="s">
        <v>290</v>
      </c>
      <c r="I200" t="s">
        <v>290</v>
      </c>
      <c r="J200" t="s">
        <v>290</v>
      </c>
    </row>
    <row r="201" spans="1:10">
      <c r="A201">
        <v>200</v>
      </c>
      <c r="B201">
        <v>173</v>
      </c>
      <c r="C201">
        <v>174</v>
      </c>
      <c r="D201" t="s">
        <v>509</v>
      </c>
      <c r="E201">
        <v>0.00010387456168246</v>
      </c>
      <c r="F201">
        <v>8.35688191602234e-5</v>
      </c>
      <c r="G201">
        <v>0</v>
      </c>
      <c r="H201" t="s">
        <v>290</v>
      </c>
      <c r="I201" t="s">
        <v>290</v>
      </c>
      <c r="J201" t="s">
        <v>290</v>
      </c>
    </row>
    <row r="202" spans="1:10">
      <c r="A202">
        <v>201</v>
      </c>
      <c r="B202">
        <v>174</v>
      </c>
      <c r="C202">
        <v>175</v>
      </c>
      <c r="D202" t="s">
        <v>510</v>
      </c>
      <c r="E202">
        <v>0.00010387456168246</v>
      </c>
      <c r="F202">
        <v>8.35688191602234e-5</v>
      </c>
      <c r="G202">
        <v>0</v>
      </c>
      <c r="H202" t="s">
        <v>290</v>
      </c>
      <c r="I202" t="s">
        <v>290</v>
      </c>
      <c r="J202" t="s">
        <v>290</v>
      </c>
    </row>
    <row r="203" spans="1:10">
      <c r="A203">
        <v>202</v>
      </c>
      <c r="B203">
        <v>170</v>
      </c>
      <c r="C203">
        <v>171</v>
      </c>
      <c r="D203" t="s">
        <v>511</v>
      </c>
      <c r="E203">
        <v>0.00010387456168246</v>
      </c>
      <c r="F203">
        <v>8.35688191602234e-5</v>
      </c>
      <c r="G203">
        <v>0</v>
      </c>
      <c r="H203" t="s">
        <v>290</v>
      </c>
      <c r="I203" t="s">
        <v>290</v>
      </c>
      <c r="J203" t="s">
        <v>290</v>
      </c>
    </row>
    <row r="204" spans="1:10">
      <c r="A204">
        <v>203</v>
      </c>
      <c r="B204">
        <v>176</v>
      </c>
      <c r="C204">
        <v>177</v>
      </c>
      <c r="D204" t="s">
        <v>512</v>
      </c>
      <c r="E204">
        <v>0.00010387456168246</v>
      </c>
      <c r="F204">
        <v>8.35688191602234e-5</v>
      </c>
      <c r="G204">
        <v>0</v>
      </c>
      <c r="H204" t="s">
        <v>290</v>
      </c>
      <c r="I204" t="s">
        <v>290</v>
      </c>
      <c r="J204" t="s">
        <v>290</v>
      </c>
    </row>
    <row r="205" spans="1:10">
      <c r="A205">
        <v>204</v>
      </c>
      <c r="B205">
        <v>248</v>
      </c>
      <c r="C205">
        <v>249</v>
      </c>
      <c r="D205" t="s">
        <v>513</v>
      </c>
      <c r="E205">
        <v>0.00010387456168246</v>
      </c>
      <c r="F205">
        <v>8.35688191602234e-5</v>
      </c>
      <c r="G205">
        <v>0</v>
      </c>
      <c r="H205" t="s">
        <v>290</v>
      </c>
      <c r="I205" t="s">
        <v>290</v>
      </c>
      <c r="J205" t="s">
        <v>290</v>
      </c>
    </row>
    <row r="206" spans="1:10">
      <c r="A206">
        <v>205</v>
      </c>
      <c r="B206">
        <v>172</v>
      </c>
      <c r="C206">
        <v>173</v>
      </c>
      <c r="D206" t="s">
        <v>514</v>
      </c>
      <c r="E206">
        <v>0.00010387456168246</v>
      </c>
      <c r="F206">
        <v>8.35688191602234e-5</v>
      </c>
      <c r="G206">
        <v>0</v>
      </c>
      <c r="H206" t="s">
        <v>290</v>
      </c>
      <c r="I206" t="s">
        <v>290</v>
      </c>
      <c r="J206" t="s">
        <v>290</v>
      </c>
    </row>
    <row r="207" spans="1:10">
      <c r="A207">
        <v>206</v>
      </c>
      <c r="B207">
        <v>249</v>
      </c>
      <c r="C207">
        <v>250</v>
      </c>
      <c r="D207" t="s">
        <v>515</v>
      </c>
      <c r="E207">
        <v>0.00010387456168246</v>
      </c>
      <c r="F207">
        <v>8.35688191602234e-5</v>
      </c>
      <c r="G207">
        <v>0</v>
      </c>
      <c r="H207" t="s">
        <v>290</v>
      </c>
      <c r="I207" t="s">
        <v>290</v>
      </c>
      <c r="J207" t="s">
        <v>290</v>
      </c>
    </row>
    <row r="208" spans="1:10">
      <c r="A208">
        <v>207</v>
      </c>
      <c r="B208">
        <v>81</v>
      </c>
      <c r="C208">
        <v>82</v>
      </c>
      <c r="D208" t="s">
        <v>516</v>
      </c>
      <c r="E208">
        <v>0.000103874550040928</v>
      </c>
      <c r="F208">
        <v>8.35687688218697e-5</v>
      </c>
      <c r="G208">
        <v>0</v>
      </c>
      <c r="H208" t="s">
        <v>290</v>
      </c>
      <c r="I208" t="s">
        <v>290</v>
      </c>
      <c r="J208" t="s">
        <v>290</v>
      </c>
    </row>
    <row r="209" spans="1:10">
      <c r="A209">
        <v>208</v>
      </c>
      <c r="B209">
        <v>80</v>
      </c>
      <c r="C209">
        <v>81</v>
      </c>
      <c r="D209" t="s">
        <v>517</v>
      </c>
      <c r="E209">
        <v>0.000103874550040928</v>
      </c>
      <c r="F209">
        <v>8.35687688218697e-5</v>
      </c>
      <c r="G209">
        <v>0</v>
      </c>
      <c r="H209" t="s">
        <v>290</v>
      </c>
      <c r="I209" t="s">
        <v>290</v>
      </c>
      <c r="J209" t="s">
        <v>290</v>
      </c>
    </row>
    <row r="210" spans="1:10">
      <c r="A210">
        <v>209</v>
      </c>
      <c r="B210">
        <v>124</v>
      </c>
      <c r="C210">
        <v>125</v>
      </c>
      <c r="D210" t="s">
        <v>518</v>
      </c>
      <c r="E210">
        <v>9.5739003700146e-5</v>
      </c>
      <c r="F210">
        <v>7.71855370413897e-5</v>
      </c>
      <c r="G210">
        <v>0</v>
      </c>
      <c r="H210" t="s">
        <v>290</v>
      </c>
      <c r="I210" t="s">
        <v>290</v>
      </c>
      <c r="J210" t="s">
        <v>290</v>
      </c>
    </row>
    <row r="211" spans="1:10">
      <c r="A211">
        <v>210</v>
      </c>
      <c r="B211">
        <v>34</v>
      </c>
      <c r="C211">
        <v>35</v>
      </c>
      <c r="D211" t="s">
        <v>519</v>
      </c>
      <c r="E211">
        <v>9.30333017095109e-5</v>
      </c>
      <c r="F211">
        <v>8.06088249997917e-5</v>
      </c>
      <c r="G211">
        <v>0</v>
      </c>
      <c r="H211" t="s">
        <v>290</v>
      </c>
      <c r="I211" t="s">
        <v>290</v>
      </c>
      <c r="J211" t="s">
        <v>290</v>
      </c>
    </row>
    <row r="212" spans="1:10">
      <c r="A212">
        <v>211</v>
      </c>
      <c r="B212">
        <v>29</v>
      </c>
      <c r="C212">
        <v>30</v>
      </c>
      <c r="D212" t="s">
        <v>520</v>
      </c>
      <c r="E212">
        <v>9.14440563065e-5</v>
      </c>
      <c r="F212">
        <v>7.02219811543811e-5</v>
      </c>
      <c r="G212">
        <v>0</v>
      </c>
      <c r="H212" t="s">
        <v>290</v>
      </c>
      <c r="I212" t="s">
        <v>290</v>
      </c>
      <c r="J212" t="s">
        <v>290</v>
      </c>
    </row>
    <row r="213" spans="1:10">
      <c r="A213">
        <v>212</v>
      </c>
      <c r="B213">
        <v>109</v>
      </c>
      <c r="C213">
        <v>110</v>
      </c>
      <c r="D213" t="s">
        <v>521</v>
      </c>
      <c r="E213">
        <v>9.14440563065e-5</v>
      </c>
      <c r="F213">
        <v>7.02219811543811e-5</v>
      </c>
      <c r="G213">
        <v>0</v>
      </c>
      <c r="H213" t="s">
        <v>290</v>
      </c>
      <c r="I213" t="s">
        <v>290</v>
      </c>
      <c r="J213" t="s">
        <v>290</v>
      </c>
    </row>
    <row r="214" spans="1:10">
      <c r="A214">
        <v>213</v>
      </c>
      <c r="B214">
        <v>103</v>
      </c>
      <c r="C214">
        <v>104</v>
      </c>
      <c r="D214" t="s">
        <v>522</v>
      </c>
      <c r="E214">
        <v>9.14440563065e-5</v>
      </c>
      <c r="F214">
        <v>7.02219811543811e-5</v>
      </c>
      <c r="G214">
        <v>0</v>
      </c>
      <c r="H214" t="s">
        <v>290</v>
      </c>
      <c r="I214" t="s">
        <v>290</v>
      </c>
      <c r="J214" t="s">
        <v>290</v>
      </c>
    </row>
    <row r="215" spans="1:10">
      <c r="A215">
        <v>214</v>
      </c>
      <c r="B215">
        <v>104</v>
      </c>
      <c r="C215">
        <v>105</v>
      </c>
      <c r="D215" t="s">
        <v>523</v>
      </c>
      <c r="E215">
        <v>9.14440563065e-5</v>
      </c>
      <c r="F215">
        <v>7.02219811543811e-5</v>
      </c>
      <c r="G215">
        <v>0</v>
      </c>
      <c r="H215" t="s">
        <v>290</v>
      </c>
      <c r="I215" t="s">
        <v>290</v>
      </c>
      <c r="J215" t="s">
        <v>290</v>
      </c>
    </row>
    <row r="216" spans="1:10">
      <c r="A216">
        <v>215</v>
      </c>
      <c r="B216">
        <v>121</v>
      </c>
      <c r="C216">
        <v>122</v>
      </c>
      <c r="D216" t="s">
        <v>524</v>
      </c>
      <c r="E216">
        <v>9.14440537599148e-5</v>
      </c>
      <c r="F216">
        <v>7.02219837614572e-5</v>
      </c>
      <c r="G216">
        <v>0</v>
      </c>
      <c r="H216" t="s">
        <v>290</v>
      </c>
      <c r="I216" t="s">
        <v>290</v>
      </c>
      <c r="J216" t="s">
        <v>290</v>
      </c>
    </row>
    <row r="217" spans="1:10">
      <c r="A217">
        <v>216</v>
      </c>
      <c r="B217">
        <v>122</v>
      </c>
      <c r="C217">
        <v>123</v>
      </c>
      <c r="D217" t="s">
        <v>525</v>
      </c>
      <c r="E217">
        <v>9.14440537599148e-5</v>
      </c>
      <c r="F217">
        <v>7.02219837614572e-5</v>
      </c>
      <c r="G217">
        <v>0</v>
      </c>
      <c r="H217" t="s">
        <v>290</v>
      </c>
      <c r="I217" t="s">
        <v>290</v>
      </c>
      <c r="J217" t="s">
        <v>290</v>
      </c>
    </row>
    <row r="218" spans="1:10">
      <c r="A218">
        <v>217</v>
      </c>
      <c r="B218">
        <v>116</v>
      </c>
      <c r="C218">
        <v>117</v>
      </c>
      <c r="D218" t="s">
        <v>526</v>
      </c>
      <c r="E218">
        <v>9.14440537599148e-5</v>
      </c>
      <c r="F218">
        <v>7.02219837614572e-5</v>
      </c>
      <c r="G218">
        <v>0</v>
      </c>
      <c r="H218" t="s">
        <v>290</v>
      </c>
      <c r="I218" t="s">
        <v>290</v>
      </c>
      <c r="J218" t="s">
        <v>290</v>
      </c>
    </row>
    <row r="219" spans="1:10">
      <c r="A219">
        <v>218</v>
      </c>
      <c r="B219">
        <v>111</v>
      </c>
      <c r="C219">
        <v>112</v>
      </c>
      <c r="D219" t="s">
        <v>527</v>
      </c>
      <c r="E219">
        <v>9.14440537599148e-5</v>
      </c>
      <c r="F219">
        <v>7.02219837614572e-5</v>
      </c>
      <c r="G219">
        <v>0</v>
      </c>
      <c r="H219" t="s">
        <v>290</v>
      </c>
      <c r="I219" t="s">
        <v>290</v>
      </c>
      <c r="J219" t="s">
        <v>290</v>
      </c>
    </row>
    <row r="220" spans="1:10">
      <c r="A220">
        <v>219</v>
      </c>
      <c r="B220">
        <v>9</v>
      </c>
      <c r="C220">
        <v>10</v>
      </c>
      <c r="D220" t="s">
        <v>528</v>
      </c>
      <c r="E220">
        <v>9.14440330234356e-5</v>
      </c>
      <c r="F220">
        <v>7.02219588501964e-5</v>
      </c>
      <c r="G220">
        <v>0</v>
      </c>
      <c r="H220" t="s">
        <v>290</v>
      </c>
      <c r="I220" t="s">
        <v>290</v>
      </c>
      <c r="J220" t="s">
        <v>290</v>
      </c>
    </row>
    <row r="221" spans="1:10">
      <c r="A221">
        <v>220</v>
      </c>
      <c r="B221">
        <v>94</v>
      </c>
      <c r="C221">
        <v>95</v>
      </c>
      <c r="D221" t="s">
        <v>529</v>
      </c>
      <c r="E221">
        <v>8.40588634673622e-5</v>
      </c>
      <c r="F221">
        <v>6.50856058030526e-5</v>
      </c>
      <c r="G221">
        <v>0</v>
      </c>
      <c r="H221" t="s">
        <v>290</v>
      </c>
      <c r="I221" t="s">
        <v>290</v>
      </c>
      <c r="J221" t="s">
        <v>290</v>
      </c>
    </row>
    <row r="222" spans="1:10">
      <c r="A222">
        <v>221</v>
      </c>
      <c r="B222">
        <v>57</v>
      </c>
      <c r="C222">
        <v>58</v>
      </c>
      <c r="D222" t="s">
        <v>530</v>
      </c>
      <c r="E222">
        <v>7.84611636845511e-5</v>
      </c>
      <c r="F222">
        <v>5.1370340086246e-5</v>
      </c>
      <c r="G222">
        <v>0</v>
      </c>
      <c r="H222" t="s">
        <v>290</v>
      </c>
      <c r="I222" t="s">
        <v>290</v>
      </c>
      <c r="J222" t="s">
        <v>290</v>
      </c>
    </row>
    <row r="223" spans="1:10">
      <c r="A223">
        <v>222</v>
      </c>
      <c r="B223">
        <v>55</v>
      </c>
      <c r="C223">
        <v>56</v>
      </c>
      <c r="D223" t="s">
        <v>531</v>
      </c>
      <c r="E223">
        <v>7.84611513154232e-5</v>
      </c>
      <c r="F223">
        <v>5.13703025546707e-5</v>
      </c>
      <c r="G223">
        <v>0</v>
      </c>
      <c r="H223" t="s">
        <v>290</v>
      </c>
      <c r="I223" t="s">
        <v>290</v>
      </c>
      <c r="J223" t="s">
        <v>290</v>
      </c>
    </row>
    <row r="224" spans="1:10">
      <c r="A224">
        <v>223</v>
      </c>
      <c r="B224">
        <v>27</v>
      </c>
      <c r="C224">
        <v>28</v>
      </c>
      <c r="D224" t="s">
        <v>532</v>
      </c>
      <c r="E224">
        <v>7.67538731452078e-5</v>
      </c>
      <c r="F224">
        <v>6.33267216002876e-5</v>
      </c>
      <c r="G224">
        <v>0</v>
      </c>
      <c r="H224" t="s">
        <v>290</v>
      </c>
      <c r="I224" t="s">
        <v>290</v>
      </c>
      <c r="J224" t="s">
        <v>290</v>
      </c>
    </row>
    <row r="225" spans="1:10">
      <c r="A225">
        <v>224</v>
      </c>
      <c r="B225">
        <v>268</v>
      </c>
      <c r="C225">
        <v>269</v>
      </c>
      <c r="D225" t="s">
        <v>533</v>
      </c>
      <c r="E225">
        <v>7.63416810514173e-5</v>
      </c>
      <c r="F225">
        <v>7.21853567873097e-5</v>
      </c>
      <c r="G225">
        <v>0</v>
      </c>
      <c r="H225" t="s">
        <v>290</v>
      </c>
      <c r="I225" t="s">
        <v>290</v>
      </c>
      <c r="J225" t="s">
        <v>290</v>
      </c>
    </row>
    <row r="226" spans="1:10">
      <c r="A226">
        <v>225</v>
      </c>
      <c r="B226">
        <v>0</v>
      </c>
      <c r="C226">
        <v>1</v>
      </c>
      <c r="D226" t="s">
        <v>534</v>
      </c>
      <c r="E226">
        <v>6.08189944614424e-5</v>
      </c>
      <c r="F226">
        <v>4.54647094870295e-5</v>
      </c>
      <c r="G226">
        <v>0</v>
      </c>
      <c r="H226" t="s">
        <v>290</v>
      </c>
      <c r="I226" t="s">
        <v>290</v>
      </c>
      <c r="J226" t="s">
        <v>290</v>
      </c>
    </row>
    <row r="227" spans="1:10">
      <c r="A227">
        <v>226</v>
      </c>
      <c r="B227">
        <v>66</v>
      </c>
      <c r="C227">
        <v>67</v>
      </c>
      <c r="D227" t="s">
        <v>535</v>
      </c>
      <c r="E227">
        <v>6.07955947998562e-5</v>
      </c>
      <c r="F227">
        <v>4.70177023209958e-5</v>
      </c>
      <c r="G227">
        <v>0</v>
      </c>
      <c r="H227" t="s">
        <v>290</v>
      </c>
      <c r="I227" t="s">
        <v>290</v>
      </c>
      <c r="J227" t="s">
        <v>290</v>
      </c>
    </row>
    <row r="228" spans="1:10">
      <c r="A228">
        <v>227</v>
      </c>
      <c r="B228">
        <v>67</v>
      </c>
      <c r="C228">
        <v>68</v>
      </c>
      <c r="D228" t="s">
        <v>536</v>
      </c>
      <c r="E228">
        <v>6.07955947998562e-5</v>
      </c>
      <c r="F228">
        <v>4.70177023209958e-5</v>
      </c>
      <c r="G228">
        <v>0</v>
      </c>
      <c r="H228" t="s">
        <v>290</v>
      </c>
      <c r="I228" t="s">
        <v>290</v>
      </c>
      <c r="J228" t="s">
        <v>290</v>
      </c>
    </row>
    <row r="229" spans="1:10">
      <c r="A229">
        <v>228</v>
      </c>
      <c r="B229">
        <v>232</v>
      </c>
      <c r="C229">
        <v>233</v>
      </c>
      <c r="D229" t="s">
        <v>537</v>
      </c>
      <c r="E229">
        <v>5.72826960706152e-5</v>
      </c>
      <c r="F229">
        <v>5.36253190048848e-5</v>
      </c>
      <c r="G229">
        <v>0</v>
      </c>
      <c r="H229" t="s">
        <v>290</v>
      </c>
      <c r="I229" t="s">
        <v>290</v>
      </c>
      <c r="J229" t="s">
        <v>290</v>
      </c>
    </row>
    <row r="230" spans="1:10">
      <c r="A230">
        <v>229</v>
      </c>
      <c r="B230">
        <v>101</v>
      </c>
      <c r="C230">
        <v>102</v>
      </c>
      <c r="D230" t="s">
        <v>538</v>
      </c>
      <c r="E230">
        <v>5.6476927602489e-5</v>
      </c>
      <c r="F230">
        <v>5.2815935742588e-5</v>
      </c>
      <c r="G230">
        <v>0</v>
      </c>
      <c r="H230" t="s">
        <v>290</v>
      </c>
      <c r="I230" t="s">
        <v>290</v>
      </c>
      <c r="J230" t="s">
        <v>290</v>
      </c>
    </row>
    <row r="231" spans="1:10">
      <c r="A231">
        <v>230</v>
      </c>
      <c r="B231">
        <v>112</v>
      </c>
      <c r="C231">
        <v>113</v>
      </c>
      <c r="D231" t="s">
        <v>539</v>
      </c>
      <c r="E231">
        <v>5.64769160519063e-5</v>
      </c>
      <c r="F231">
        <v>5.28159327977198e-5</v>
      </c>
      <c r="G231">
        <v>0</v>
      </c>
      <c r="H231" t="s">
        <v>290</v>
      </c>
      <c r="I231" t="s">
        <v>290</v>
      </c>
      <c r="J231" t="s">
        <v>290</v>
      </c>
    </row>
    <row r="232" spans="1:10">
      <c r="A232">
        <v>231</v>
      </c>
      <c r="B232">
        <v>30</v>
      </c>
      <c r="C232">
        <v>31</v>
      </c>
      <c r="D232" t="s">
        <v>540</v>
      </c>
      <c r="E232">
        <v>5.64769035918289e-5</v>
      </c>
      <c r="F232">
        <v>5.28159033278018e-5</v>
      </c>
      <c r="G232">
        <v>0</v>
      </c>
      <c r="H232" t="s">
        <v>290</v>
      </c>
      <c r="I232" t="s">
        <v>290</v>
      </c>
      <c r="J232" t="s">
        <v>290</v>
      </c>
    </row>
    <row r="233" spans="1:10">
      <c r="A233">
        <v>232</v>
      </c>
      <c r="B233">
        <v>99</v>
      </c>
      <c r="C233">
        <v>100</v>
      </c>
      <c r="D233" t="s">
        <v>541</v>
      </c>
      <c r="E233">
        <v>5.61175983875728e-5</v>
      </c>
      <c r="F233">
        <v>6.84875640796728e-5</v>
      </c>
      <c r="G233">
        <v>0</v>
      </c>
      <c r="H233" t="s">
        <v>290</v>
      </c>
      <c r="I233" t="s">
        <v>290</v>
      </c>
      <c r="J233" t="s">
        <v>290</v>
      </c>
    </row>
    <row r="234" spans="1:10">
      <c r="A234">
        <v>233</v>
      </c>
      <c r="B234">
        <v>97</v>
      </c>
      <c r="C234">
        <v>98</v>
      </c>
      <c r="D234" t="s">
        <v>542</v>
      </c>
      <c r="E234">
        <v>5.61175983875728e-5</v>
      </c>
      <c r="F234">
        <v>6.84875640796728e-5</v>
      </c>
      <c r="G234">
        <v>0</v>
      </c>
      <c r="H234" t="s">
        <v>290</v>
      </c>
      <c r="I234" t="s">
        <v>290</v>
      </c>
      <c r="J234" t="s">
        <v>290</v>
      </c>
    </row>
    <row r="235" spans="1:10">
      <c r="A235">
        <v>234</v>
      </c>
      <c r="B235">
        <v>291</v>
      </c>
      <c r="C235">
        <v>292</v>
      </c>
      <c r="D235" t="s">
        <v>543</v>
      </c>
      <c r="E235">
        <v>5.61175929306046e-5</v>
      </c>
      <c r="F235">
        <v>6.84875641466e-5</v>
      </c>
      <c r="G235">
        <v>0</v>
      </c>
      <c r="H235" t="s">
        <v>290</v>
      </c>
      <c r="I235" t="s">
        <v>290</v>
      </c>
      <c r="J235" t="s">
        <v>290</v>
      </c>
    </row>
    <row r="236" spans="1:10">
      <c r="A236">
        <v>235</v>
      </c>
      <c r="B236">
        <v>269</v>
      </c>
      <c r="C236">
        <v>270</v>
      </c>
      <c r="D236" t="s">
        <v>544</v>
      </c>
      <c r="E236">
        <v>5.61175922030088e-5</v>
      </c>
      <c r="F236">
        <v>6.84875647245435e-5</v>
      </c>
      <c r="G236">
        <v>0</v>
      </c>
      <c r="H236" t="s">
        <v>290</v>
      </c>
      <c r="I236" t="s">
        <v>290</v>
      </c>
      <c r="J236" t="s">
        <v>290</v>
      </c>
    </row>
    <row r="237" spans="1:10">
      <c r="A237">
        <v>236</v>
      </c>
      <c r="B237">
        <v>271</v>
      </c>
      <c r="C237">
        <v>272</v>
      </c>
      <c r="D237" t="s">
        <v>545</v>
      </c>
      <c r="E237">
        <v>5.61175922030088e-5</v>
      </c>
      <c r="F237">
        <v>6.84875647245435e-5</v>
      </c>
      <c r="G237">
        <v>0</v>
      </c>
      <c r="H237" t="s">
        <v>290</v>
      </c>
      <c r="I237" t="s">
        <v>290</v>
      </c>
      <c r="J237" t="s">
        <v>290</v>
      </c>
    </row>
    <row r="238" spans="1:10">
      <c r="A238">
        <v>237</v>
      </c>
      <c r="B238">
        <v>272</v>
      </c>
      <c r="C238">
        <v>273</v>
      </c>
      <c r="D238" t="s">
        <v>546</v>
      </c>
      <c r="E238">
        <v>5.61175922030088e-5</v>
      </c>
      <c r="F238">
        <v>6.84875647245435e-5</v>
      </c>
      <c r="G238">
        <v>0</v>
      </c>
      <c r="H238" t="s">
        <v>290</v>
      </c>
      <c r="I238" t="s">
        <v>290</v>
      </c>
      <c r="J238" t="s">
        <v>290</v>
      </c>
    </row>
    <row r="239" spans="1:10">
      <c r="A239">
        <v>238</v>
      </c>
      <c r="B239">
        <v>275</v>
      </c>
      <c r="C239">
        <v>276</v>
      </c>
      <c r="D239" t="s">
        <v>547</v>
      </c>
      <c r="E239">
        <v>5.61175922030088e-5</v>
      </c>
      <c r="F239">
        <v>6.84875647245435e-5</v>
      </c>
      <c r="G239">
        <v>0</v>
      </c>
      <c r="H239" t="s">
        <v>290</v>
      </c>
      <c r="I239" t="s">
        <v>290</v>
      </c>
      <c r="J239" t="s">
        <v>290</v>
      </c>
    </row>
    <row r="240" spans="1:10">
      <c r="A240">
        <v>239</v>
      </c>
      <c r="B240">
        <v>276</v>
      </c>
      <c r="C240">
        <v>277</v>
      </c>
      <c r="D240" t="s">
        <v>548</v>
      </c>
      <c r="E240">
        <v>5.61175922030088e-5</v>
      </c>
      <c r="F240">
        <v>6.84875647245435e-5</v>
      </c>
      <c r="G240">
        <v>0</v>
      </c>
      <c r="H240" t="s">
        <v>290</v>
      </c>
      <c r="I240" t="s">
        <v>290</v>
      </c>
      <c r="J240" t="s">
        <v>290</v>
      </c>
    </row>
    <row r="241" spans="1:10">
      <c r="A241">
        <v>240</v>
      </c>
      <c r="B241">
        <v>270</v>
      </c>
      <c r="C241">
        <v>271</v>
      </c>
      <c r="D241" t="s">
        <v>549</v>
      </c>
      <c r="E241">
        <v>5.61175922030088e-5</v>
      </c>
      <c r="F241">
        <v>6.84875647245435e-5</v>
      </c>
      <c r="G241">
        <v>0</v>
      </c>
      <c r="H241" t="s">
        <v>290</v>
      </c>
      <c r="I241" t="s">
        <v>290</v>
      </c>
      <c r="J241" t="s">
        <v>290</v>
      </c>
    </row>
    <row r="242" spans="1:10">
      <c r="A242">
        <v>241</v>
      </c>
      <c r="B242">
        <v>287</v>
      </c>
      <c r="C242">
        <v>288</v>
      </c>
      <c r="D242" t="s">
        <v>550</v>
      </c>
      <c r="E242">
        <v>5.61175919301604e-5</v>
      </c>
      <c r="F242">
        <v>6.84875648963146e-5</v>
      </c>
      <c r="G242">
        <v>0</v>
      </c>
      <c r="H242" t="s">
        <v>290</v>
      </c>
      <c r="I242" t="s">
        <v>290</v>
      </c>
      <c r="J242" t="s">
        <v>290</v>
      </c>
    </row>
    <row r="243" spans="1:10">
      <c r="A243">
        <v>242</v>
      </c>
      <c r="B243">
        <v>286</v>
      </c>
      <c r="C243">
        <v>287</v>
      </c>
      <c r="D243" t="s">
        <v>551</v>
      </c>
      <c r="E243">
        <v>5.61175919301604e-5</v>
      </c>
      <c r="F243">
        <v>6.84875648963146e-5</v>
      </c>
      <c r="G243">
        <v>0</v>
      </c>
      <c r="H243" t="s">
        <v>290</v>
      </c>
      <c r="I243" t="s">
        <v>290</v>
      </c>
      <c r="J243" t="s">
        <v>290</v>
      </c>
    </row>
    <row r="244" spans="1:10">
      <c r="A244">
        <v>243</v>
      </c>
      <c r="B244">
        <v>280</v>
      </c>
      <c r="C244">
        <v>281</v>
      </c>
      <c r="D244" t="s">
        <v>552</v>
      </c>
      <c r="E244">
        <v>5.61175912025647e-5</v>
      </c>
      <c r="F244">
        <v>6.84875654742581e-5</v>
      </c>
      <c r="G244">
        <v>0</v>
      </c>
      <c r="H244" t="s">
        <v>290</v>
      </c>
      <c r="I244" t="s">
        <v>290</v>
      </c>
      <c r="J244" t="s">
        <v>290</v>
      </c>
    </row>
    <row r="245" spans="1:10">
      <c r="A245">
        <v>244</v>
      </c>
      <c r="B245">
        <v>289</v>
      </c>
      <c r="C245">
        <v>290</v>
      </c>
      <c r="D245" t="s">
        <v>553</v>
      </c>
      <c r="E245">
        <v>5.61175912025647e-5</v>
      </c>
      <c r="F245">
        <v>6.84875654742581e-5</v>
      </c>
      <c r="G245">
        <v>0</v>
      </c>
      <c r="H245" t="s">
        <v>290</v>
      </c>
      <c r="I245" t="s">
        <v>290</v>
      </c>
      <c r="J245" t="s">
        <v>290</v>
      </c>
    </row>
    <row r="246" spans="1:10">
      <c r="A246">
        <v>245</v>
      </c>
      <c r="B246">
        <v>96</v>
      </c>
      <c r="C246">
        <v>97</v>
      </c>
      <c r="D246" t="s">
        <v>554</v>
      </c>
      <c r="E246">
        <v>5.31574717570038e-5</v>
      </c>
      <c r="F246">
        <v>4.22912772937654e-5</v>
      </c>
      <c r="G246">
        <v>0</v>
      </c>
      <c r="H246" t="s">
        <v>290</v>
      </c>
      <c r="I246" t="s">
        <v>290</v>
      </c>
      <c r="J246" t="s">
        <v>290</v>
      </c>
    </row>
    <row r="247" spans="1:10">
      <c r="A247">
        <v>246</v>
      </c>
      <c r="B247">
        <v>70</v>
      </c>
      <c r="C247">
        <v>71</v>
      </c>
      <c r="D247" t="s">
        <v>555</v>
      </c>
      <c r="E247">
        <v>4.55617332590919e-5</v>
      </c>
      <c r="F247">
        <v>3.98450569760728e-5</v>
      </c>
      <c r="G247">
        <v>0</v>
      </c>
      <c r="H247" t="s">
        <v>290</v>
      </c>
      <c r="I247" t="s">
        <v>290</v>
      </c>
      <c r="J247" t="s">
        <v>290</v>
      </c>
    </row>
    <row r="248" spans="1:10">
      <c r="A248">
        <v>247</v>
      </c>
      <c r="B248">
        <v>76</v>
      </c>
      <c r="C248">
        <v>77</v>
      </c>
      <c r="D248" t="s">
        <v>556</v>
      </c>
      <c r="E248">
        <v>3.64728714430385e-5</v>
      </c>
      <c r="F248">
        <v>3.80924823966077e-5</v>
      </c>
      <c r="G248">
        <v>0</v>
      </c>
      <c r="H248" t="s">
        <v>290</v>
      </c>
      <c r="I248" t="s">
        <v>290</v>
      </c>
      <c r="J248" t="s">
        <v>290</v>
      </c>
    </row>
    <row r="249" spans="1:10">
      <c r="A249">
        <v>248</v>
      </c>
      <c r="B249">
        <v>71</v>
      </c>
      <c r="C249">
        <v>72</v>
      </c>
      <c r="D249" t="s">
        <v>557</v>
      </c>
      <c r="E249">
        <v>3.61281583536766e-5</v>
      </c>
      <c r="F249">
        <v>3.1259633807913e-5</v>
      </c>
      <c r="G249">
        <v>0</v>
      </c>
      <c r="H249" t="s">
        <v>290</v>
      </c>
      <c r="I249" t="s">
        <v>290</v>
      </c>
      <c r="J249" t="s">
        <v>290</v>
      </c>
    </row>
    <row r="250" spans="1:10">
      <c r="A250">
        <v>249</v>
      </c>
      <c r="B250">
        <v>28</v>
      </c>
      <c r="C250">
        <v>29</v>
      </c>
      <c r="D250" t="s">
        <v>558</v>
      </c>
      <c r="E250">
        <v>3.20296334393788e-5</v>
      </c>
      <c r="F250">
        <v>2.68187426861912e-5</v>
      </c>
      <c r="G250">
        <v>0</v>
      </c>
      <c r="H250" t="s">
        <v>290</v>
      </c>
      <c r="I250" t="s">
        <v>290</v>
      </c>
      <c r="J250" t="s">
        <v>290</v>
      </c>
    </row>
    <row r="251" spans="1:10">
      <c r="A251">
        <v>250</v>
      </c>
      <c r="B251">
        <v>69</v>
      </c>
      <c r="C251">
        <v>70</v>
      </c>
      <c r="D251" t="s">
        <v>559</v>
      </c>
      <c r="E251">
        <v>3.14782327677676e-5</v>
      </c>
      <c r="F251">
        <v>2.94436954569342e-5</v>
      </c>
      <c r="G251">
        <v>0</v>
      </c>
      <c r="H251" t="s">
        <v>290</v>
      </c>
      <c r="I251" t="s">
        <v>290</v>
      </c>
      <c r="J251" t="s">
        <v>290</v>
      </c>
    </row>
    <row r="252" spans="1:10">
      <c r="A252">
        <v>251</v>
      </c>
      <c r="B252">
        <v>8</v>
      </c>
      <c r="C252">
        <v>9</v>
      </c>
      <c r="D252" t="s">
        <v>560</v>
      </c>
      <c r="E252">
        <v>3.06860656564822e-5</v>
      </c>
      <c r="F252">
        <v>2.75747133278011e-5</v>
      </c>
      <c r="G252">
        <v>0</v>
      </c>
      <c r="H252" t="s">
        <v>290</v>
      </c>
      <c r="I252" t="s">
        <v>290</v>
      </c>
      <c r="J252" t="s">
        <v>290</v>
      </c>
    </row>
    <row r="253" spans="1:10">
      <c r="A253">
        <v>252</v>
      </c>
      <c r="B253">
        <v>85</v>
      </c>
      <c r="C253">
        <v>86</v>
      </c>
      <c r="D253" t="s">
        <v>561</v>
      </c>
      <c r="E253">
        <v>2.91594899408665e-5</v>
      </c>
      <c r="F253">
        <v>2.38279600195218e-5</v>
      </c>
      <c r="G253">
        <v>0</v>
      </c>
      <c r="H253" t="s">
        <v>290</v>
      </c>
      <c r="I253" t="s">
        <v>290</v>
      </c>
      <c r="J253" t="s">
        <v>290</v>
      </c>
    </row>
    <row r="254" spans="1:10">
      <c r="A254">
        <v>253</v>
      </c>
      <c r="B254">
        <v>267</v>
      </c>
      <c r="C254">
        <v>268</v>
      </c>
      <c r="D254" t="s">
        <v>562</v>
      </c>
      <c r="E254">
        <v>2.9159481437091e-5</v>
      </c>
      <c r="F254">
        <v>2.38279516217507e-5</v>
      </c>
      <c r="G254">
        <v>0</v>
      </c>
      <c r="H254" t="s">
        <v>290</v>
      </c>
      <c r="I254" t="s">
        <v>290</v>
      </c>
      <c r="J254" t="s">
        <v>290</v>
      </c>
    </row>
    <row r="255" spans="1:10">
      <c r="A255">
        <v>254</v>
      </c>
      <c r="B255">
        <v>72</v>
      </c>
      <c r="C255">
        <v>73</v>
      </c>
      <c r="D255" t="s">
        <v>563</v>
      </c>
      <c r="E255">
        <v>2.91272649519669e-5</v>
      </c>
      <c r="F255">
        <v>2.64506834697792e-5</v>
      </c>
      <c r="G255">
        <v>0</v>
      </c>
      <c r="H255" t="s">
        <v>290</v>
      </c>
      <c r="I255" t="s">
        <v>290</v>
      </c>
      <c r="J255" t="s">
        <v>290</v>
      </c>
    </row>
    <row r="256" spans="1:10">
      <c r="A256">
        <v>255</v>
      </c>
      <c r="B256">
        <v>35</v>
      </c>
      <c r="C256">
        <v>36</v>
      </c>
      <c r="D256" t="s">
        <v>564</v>
      </c>
      <c r="E256">
        <v>2.88711614302883e-5</v>
      </c>
      <c r="F256">
        <v>2.37746295082659e-5</v>
      </c>
      <c r="G256">
        <v>0</v>
      </c>
      <c r="H256" t="s">
        <v>290</v>
      </c>
      <c r="I256" t="s">
        <v>290</v>
      </c>
      <c r="J256" t="s">
        <v>290</v>
      </c>
    </row>
    <row r="257" spans="1:10">
      <c r="A257">
        <v>256</v>
      </c>
      <c r="B257">
        <v>36</v>
      </c>
      <c r="C257">
        <v>37</v>
      </c>
      <c r="D257" t="s">
        <v>565</v>
      </c>
      <c r="E257">
        <v>2.69893974291335e-5</v>
      </c>
      <c r="F257">
        <v>2.40413540717401e-5</v>
      </c>
      <c r="G257">
        <v>0</v>
      </c>
      <c r="H257" t="s">
        <v>290</v>
      </c>
      <c r="I257" t="s">
        <v>290</v>
      </c>
      <c r="J257" t="s">
        <v>290</v>
      </c>
    </row>
    <row r="258" spans="1:10">
      <c r="A258">
        <v>257</v>
      </c>
      <c r="B258">
        <v>17</v>
      </c>
      <c r="C258">
        <v>18</v>
      </c>
      <c r="D258" t="s">
        <v>566</v>
      </c>
      <c r="E258">
        <v>2.64863392203552e-5</v>
      </c>
      <c r="F258">
        <v>2.19068711816229e-5</v>
      </c>
      <c r="G258">
        <v>0</v>
      </c>
      <c r="H258" t="s">
        <v>290</v>
      </c>
      <c r="I258" t="s">
        <v>290</v>
      </c>
      <c r="J258" t="s">
        <v>290</v>
      </c>
    </row>
    <row r="259" spans="1:10">
      <c r="A259">
        <v>258</v>
      </c>
      <c r="B259">
        <v>84</v>
      </c>
      <c r="C259">
        <v>85</v>
      </c>
      <c r="D259" t="s">
        <v>567</v>
      </c>
      <c r="E259">
        <v>2.60373783476098e-5</v>
      </c>
      <c r="F259">
        <v>2.46565989910972e-5</v>
      </c>
      <c r="G259">
        <v>0</v>
      </c>
      <c r="H259" t="s">
        <v>290</v>
      </c>
      <c r="I259" t="s">
        <v>290</v>
      </c>
      <c r="J259" t="s">
        <v>290</v>
      </c>
    </row>
    <row r="260" spans="1:10">
      <c r="A260">
        <v>259</v>
      </c>
      <c r="B260">
        <v>83</v>
      </c>
      <c r="C260">
        <v>84</v>
      </c>
      <c r="D260" t="s">
        <v>568</v>
      </c>
      <c r="E260">
        <v>2.60373783476098e-5</v>
      </c>
      <c r="F260">
        <v>2.46565989910972e-5</v>
      </c>
      <c r="G260">
        <v>0</v>
      </c>
      <c r="H260" t="s">
        <v>290</v>
      </c>
      <c r="I260" t="s">
        <v>290</v>
      </c>
      <c r="J260" t="s">
        <v>290</v>
      </c>
    </row>
    <row r="261" spans="1:10">
      <c r="A261">
        <v>260</v>
      </c>
      <c r="B261">
        <v>82</v>
      </c>
      <c r="C261">
        <v>83</v>
      </c>
      <c r="D261" t="s">
        <v>569</v>
      </c>
      <c r="E261">
        <v>2.59797665876249e-5</v>
      </c>
      <c r="F261">
        <v>2.52771306700764e-5</v>
      </c>
      <c r="G261">
        <v>0</v>
      </c>
      <c r="H261" t="s">
        <v>290</v>
      </c>
      <c r="I261" t="s">
        <v>290</v>
      </c>
      <c r="J261" t="s">
        <v>290</v>
      </c>
    </row>
    <row r="262" spans="1:10">
      <c r="A262">
        <v>261</v>
      </c>
      <c r="B262">
        <v>98</v>
      </c>
      <c r="C262">
        <v>99</v>
      </c>
      <c r="D262" t="s">
        <v>570</v>
      </c>
      <c r="E262">
        <v>2.50041849085392e-5</v>
      </c>
      <c r="F262">
        <v>2.54478106500925e-5</v>
      </c>
      <c r="G262">
        <v>0</v>
      </c>
      <c r="H262" t="s">
        <v>290</v>
      </c>
      <c r="I262" t="s">
        <v>290</v>
      </c>
      <c r="J262" t="s">
        <v>290</v>
      </c>
    </row>
    <row r="263" spans="1:10">
      <c r="A263">
        <v>262</v>
      </c>
      <c r="B263">
        <v>102</v>
      </c>
      <c r="C263">
        <v>103</v>
      </c>
      <c r="D263" t="s">
        <v>571</v>
      </c>
      <c r="E263">
        <v>2.50041835442971e-5</v>
      </c>
      <c r="F263">
        <v>2.54478113089033e-5</v>
      </c>
      <c r="G263">
        <v>0</v>
      </c>
      <c r="H263" t="s">
        <v>290</v>
      </c>
      <c r="I263" t="s">
        <v>290</v>
      </c>
      <c r="J263" t="s">
        <v>290</v>
      </c>
    </row>
    <row r="264" spans="1:10">
      <c r="A264">
        <v>263</v>
      </c>
      <c r="B264">
        <v>39</v>
      </c>
      <c r="C264">
        <v>40</v>
      </c>
      <c r="D264" t="s">
        <v>572</v>
      </c>
      <c r="E264">
        <v>2.40233532167622e-5</v>
      </c>
      <c r="F264">
        <v>2.15867559989374e-5</v>
      </c>
      <c r="G264">
        <v>0</v>
      </c>
      <c r="H264" t="s">
        <v>290</v>
      </c>
      <c r="I264" t="s">
        <v>290</v>
      </c>
      <c r="J264" t="s">
        <v>290</v>
      </c>
    </row>
    <row r="265" spans="1:10">
      <c r="A265">
        <v>264</v>
      </c>
      <c r="B265">
        <v>38</v>
      </c>
      <c r="C265">
        <v>39</v>
      </c>
      <c r="D265" t="s">
        <v>573</v>
      </c>
      <c r="E265">
        <v>2.40233532167622e-5</v>
      </c>
      <c r="F265">
        <v>2.15867559989374e-5</v>
      </c>
      <c r="G265">
        <v>0</v>
      </c>
      <c r="H265" t="s">
        <v>290</v>
      </c>
      <c r="I265" t="s">
        <v>290</v>
      </c>
      <c r="J265" t="s">
        <v>290</v>
      </c>
    </row>
    <row r="266" spans="1:10">
      <c r="A266">
        <v>265</v>
      </c>
      <c r="B266">
        <v>37</v>
      </c>
      <c r="C266">
        <v>38</v>
      </c>
      <c r="D266" t="s">
        <v>574</v>
      </c>
      <c r="E266">
        <v>2.40233532167622e-5</v>
      </c>
      <c r="F266">
        <v>2.15867559989374e-5</v>
      </c>
      <c r="G266">
        <v>0</v>
      </c>
      <c r="H266" t="s">
        <v>290</v>
      </c>
      <c r="I266" t="s">
        <v>290</v>
      </c>
      <c r="J266" t="s">
        <v>290</v>
      </c>
    </row>
    <row r="267" spans="1:10">
      <c r="A267">
        <v>266</v>
      </c>
      <c r="B267">
        <v>33</v>
      </c>
      <c r="C267">
        <v>34</v>
      </c>
      <c r="D267" t="s">
        <v>575</v>
      </c>
      <c r="E267">
        <v>2.38840206293389e-5</v>
      </c>
      <c r="F267">
        <v>2.0380723299196e-5</v>
      </c>
      <c r="G267">
        <v>0</v>
      </c>
      <c r="H267" t="s">
        <v>290</v>
      </c>
      <c r="I267" t="s">
        <v>290</v>
      </c>
      <c r="J267" t="s">
        <v>290</v>
      </c>
    </row>
    <row r="268" spans="1:10">
      <c r="A268">
        <v>267</v>
      </c>
      <c r="B268">
        <v>77</v>
      </c>
      <c r="C268">
        <v>78</v>
      </c>
      <c r="D268" t="s">
        <v>576</v>
      </c>
      <c r="E268">
        <v>2.34991379784333e-5</v>
      </c>
      <c r="F268">
        <v>2.11504214777613e-5</v>
      </c>
      <c r="G268">
        <v>0</v>
      </c>
      <c r="H268" t="s">
        <v>290</v>
      </c>
      <c r="I268" t="s">
        <v>290</v>
      </c>
      <c r="J268" t="s">
        <v>290</v>
      </c>
    </row>
    <row r="269" spans="1:10">
      <c r="A269">
        <v>268</v>
      </c>
      <c r="B269">
        <v>78</v>
      </c>
      <c r="C269">
        <v>79</v>
      </c>
      <c r="D269" t="s">
        <v>577</v>
      </c>
      <c r="E269">
        <v>2.34991379784333e-5</v>
      </c>
      <c r="F269">
        <v>2.11504214777613e-5</v>
      </c>
      <c r="G269">
        <v>0</v>
      </c>
      <c r="H269" t="s">
        <v>290</v>
      </c>
      <c r="I269" t="s">
        <v>290</v>
      </c>
      <c r="J269" t="s">
        <v>290</v>
      </c>
    </row>
    <row r="270" spans="1:10">
      <c r="A270">
        <v>269</v>
      </c>
      <c r="B270">
        <v>79</v>
      </c>
      <c r="C270">
        <v>80</v>
      </c>
      <c r="D270" t="s">
        <v>578</v>
      </c>
      <c r="E270">
        <v>2.34991379784333e-5</v>
      </c>
      <c r="F270">
        <v>2.11504214777613e-5</v>
      </c>
      <c r="G270">
        <v>0</v>
      </c>
      <c r="H270" t="s">
        <v>290</v>
      </c>
      <c r="I270" t="s">
        <v>290</v>
      </c>
      <c r="J270" t="s">
        <v>290</v>
      </c>
    </row>
    <row r="271" spans="1:10">
      <c r="A271">
        <v>270</v>
      </c>
      <c r="B271">
        <v>113</v>
      </c>
      <c r="C271">
        <v>114</v>
      </c>
      <c r="D271" t="s">
        <v>579</v>
      </c>
      <c r="E271">
        <v>2.32441403568373e-5</v>
      </c>
      <c r="F271">
        <v>2.10944612092222e-5</v>
      </c>
      <c r="G271">
        <v>0</v>
      </c>
      <c r="H271" t="s">
        <v>290</v>
      </c>
      <c r="I271" t="s">
        <v>290</v>
      </c>
      <c r="J271" t="s">
        <v>290</v>
      </c>
    </row>
    <row r="272" spans="1:10">
      <c r="A272">
        <v>271</v>
      </c>
      <c r="B272">
        <v>16</v>
      </c>
      <c r="C272">
        <v>17</v>
      </c>
      <c r="D272" t="s">
        <v>580</v>
      </c>
      <c r="E272">
        <v>2.06514364435861e-5</v>
      </c>
      <c r="F272">
        <v>2.07920878502627e-5</v>
      </c>
      <c r="G272">
        <v>0</v>
      </c>
      <c r="H272" t="s">
        <v>290</v>
      </c>
      <c r="I272" t="s">
        <v>290</v>
      </c>
      <c r="J272" t="s">
        <v>290</v>
      </c>
    </row>
    <row r="273" spans="1:10">
      <c r="A273">
        <v>272</v>
      </c>
      <c r="B273">
        <v>26</v>
      </c>
      <c r="C273">
        <v>27</v>
      </c>
      <c r="D273" t="s">
        <v>581</v>
      </c>
      <c r="E273">
        <v>2.04655201741844e-5</v>
      </c>
      <c r="F273">
        <v>1.78064486645489e-5</v>
      </c>
      <c r="G273">
        <v>0</v>
      </c>
      <c r="H273" t="s">
        <v>290</v>
      </c>
      <c r="I273" t="s">
        <v>290</v>
      </c>
      <c r="J273" t="s">
        <v>290</v>
      </c>
    </row>
    <row r="274" spans="1:10">
      <c r="A274">
        <v>273</v>
      </c>
      <c r="B274">
        <v>73</v>
      </c>
      <c r="C274">
        <v>74</v>
      </c>
      <c r="D274" t="s">
        <v>582</v>
      </c>
      <c r="E274">
        <v>1.99267214838983e-5</v>
      </c>
      <c r="F274">
        <v>1.7761342385927e-5</v>
      </c>
      <c r="G274">
        <v>0</v>
      </c>
      <c r="H274" t="s">
        <v>290</v>
      </c>
      <c r="I274" t="s">
        <v>290</v>
      </c>
      <c r="J274" t="s">
        <v>290</v>
      </c>
    </row>
    <row r="275" spans="1:10">
      <c r="A275">
        <v>274</v>
      </c>
      <c r="B275">
        <v>43</v>
      </c>
      <c r="C275">
        <v>44</v>
      </c>
      <c r="D275" t="s">
        <v>583</v>
      </c>
      <c r="E275">
        <v>1.86887033123639e-5</v>
      </c>
      <c r="F275">
        <v>1.64135412002984e-5</v>
      </c>
      <c r="G275">
        <v>0</v>
      </c>
      <c r="H275" t="s">
        <v>290</v>
      </c>
      <c r="I275" t="s">
        <v>290</v>
      </c>
      <c r="J275" t="s">
        <v>290</v>
      </c>
    </row>
    <row r="276" spans="1:10">
      <c r="A276">
        <v>275</v>
      </c>
      <c r="B276">
        <v>3</v>
      </c>
      <c r="C276">
        <v>4</v>
      </c>
      <c r="D276" t="s">
        <v>584</v>
      </c>
      <c r="E276">
        <v>1.83124852810579e-5</v>
      </c>
      <c r="F276">
        <v>1.52977410492396e-5</v>
      </c>
      <c r="G276">
        <v>0</v>
      </c>
      <c r="H276" t="s">
        <v>290</v>
      </c>
      <c r="I276" t="s">
        <v>290</v>
      </c>
      <c r="J276" t="s">
        <v>290</v>
      </c>
    </row>
    <row r="277" spans="1:10">
      <c r="A277">
        <v>276</v>
      </c>
      <c r="B277">
        <v>42</v>
      </c>
      <c r="C277">
        <v>43</v>
      </c>
      <c r="D277" t="s">
        <v>585</v>
      </c>
      <c r="E277">
        <v>1.8061501577904e-5</v>
      </c>
      <c r="F277">
        <v>1.70295881691623e-5</v>
      </c>
      <c r="G277">
        <v>0</v>
      </c>
      <c r="H277" t="s">
        <v>290</v>
      </c>
      <c r="I277" t="s">
        <v>290</v>
      </c>
      <c r="J277" t="s">
        <v>290</v>
      </c>
    </row>
    <row r="278" spans="1:10">
      <c r="A278">
        <v>277</v>
      </c>
      <c r="B278">
        <v>23</v>
      </c>
      <c r="C278">
        <v>24</v>
      </c>
      <c r="D278" t="s">
        <v>586</v>
      </c>
      <c r="E278">
        <v>1.67717606473161e-5</v>
      </c>
      <c r="F278">
        <v>1.34980905539645e-5</v>
      </c>
      <c r="G278">
        <v>0</v>
      </c>
      <c r="H278" t="s">
        <v>290</v>
      </c>
      <c r="I278" t="s">
        <v>290</v>
      </c>
      <c r="J278" t="s">
        <v>290</v>
      </c>
    </row>
    <row r="279" spans="1:10">
      <c r="A279">
        <v>278</v>
      </c>
      <c r="B279">
        <v>24</v>
      </c>
      <c r="C279">
        <v>25</v>
      </c>
      <c r="D279" t="s">
        <v>587</v>
      </c>
      <c r="E279">
        <v>1.67717606473161e-5</v>
      </c>
      <c r="F279">
        <v>1.34980905539645e-5</v>
      </c>
      <c r="G279">
        <v>0</v>
      </c>
      <c r="H279" t="s">
        <v>290</v>
      </c>
      <c r="I279" t="s">
        <v>290</v>
      </c>
      <c r="J279" t="s">
        <v>290</v>
      </c>
    </row>
    <row r="280" spans="1:10">
      <c r="A280">
        <v>279</v>
      </c>
      <c r="B280">
        <v>86</v>
      </c>
      <c r="C280">
        <v>87</v>
      </c>
      <c r="D280" t="s">
        <v>588</v>
      </c>
      <c r="E280">
        <v>1.67717557815195e-5</v>
      </c>
      <c r="F280">
        <v>1.34980831843209e-5</v>
      </c>
      <c r="G280">
        <v>0</v>
      </c>
      <c r="H280" t="s">
        <v>290</v>
      </c>
      <c r="I280" t="s">
        <v>290</v>
      </c>
      <c r="J280" t="s">
        <v>290</v>
      </c>
    </row>
    <row r="281" spans="1:10">
      <c r="A281">
        <v>280</v>
      </c>
      <c r="B281">
        <v>87</v>
      </c>
      <c r="C281">
        <v>88</v>
      </c>
      <c r="D281" t="s">
        <v>589</v>
      </c>
      <c r="E281">
        <v>1.67717557815195e-5</v>
      </c>
      <c r="F281">
        <v>1.34980831843209e-5</v>
      </c>
      <c r="G281">
        <v>0</v>
      </c>
      <c r="H281" t="s">
        <v>290</v>
      </c>
      <c r="I281" t="s">
        <v>290</v>
      </c>
      <c r="J281" t="s">
        <v>290</v>
      </c>
    </row>
    <row r="282" spans="1:10">
      <c r="A282">
        <v>281</v>
      </c>
      <c r="B282">
        <v>88</v>
      </c>
      <c r="C282">
        <v>89</v>
      </c>
      <c r="D282" t="s">
        <v>590</v>
      </c>
      <c r="E282">
        <v>1.67717557815195e-5</v>
      </c>
      <c r="F282">
        <v>1.34980831843209e-5</v>
      </c>
      <c r="G282">
        <v>0</v>
      </c>
      <c r="H282" t="s">
        <v>290</v>
      </c>
      <c r="I282" t="s">
        <v>290</v>
      </c>
      <c r="J282" t="s">
        <v>290</v>
      </c>
    </row>
    <row r="283" spans="1:10">
      <c r="A283">
        <v>282</v>
      </c>
      <c r="B283">
        <v>89</v>
      </c>
      <c r="C283">
        <v>90</v>
      </c>
      <c r="D283" t="s">
        <v>591</v>
      </c>
      <c r="E283">
        <v>1.67717557815195e-5</v>
      </c>
      <c r="F283">
        <v>1.34980831843209e-5</v>
      </c>
      <c r="G283">
        <v>0</v>
      </c>
      <c r="H283" t="s">
        <v>290</v>
      </c>
      <c r="I283" t="s">
        <v>290</v>
      </c>
      <c r="J283" t="s">
        <v>290</v>
      </c>
    </row>
    <row r="284" spans="1:10">
      <c r="A284">
        <v>283</v>
      </c>
      <c r="B284">
        <v>48</v>
      </c>
      <c r="C284">
        <v>49</v>
      </c>
      <c r="D284" t="s">
        <v>592</v>
      </c>
      <c r="E284">
        <v>1.67717545082269e-5</v>
      </c>
      <c r="F284">
        <v>1.34980810200171e-5</v>
      </c>
      <c r="G284">
        <v>0</v>
      </c>
      <c r="H284" t="s">
        <v>290</v>
      </c>
      <c r="I284" t="s">
        <v>290</v>
      </c>
      <c r="J284" t="s">
        <v>290</v>
      </c>
    </row>
    <row r="285" spans="1:10">
      <c r="A285">
        <v>284</v>
      </c>
      <c r="B285">
        <v>44</v>
      </c>
      <c r="C285">
        <v>45</v>
      </c>
      <c r="D285" t="s">
        <v>593</v>
      </c>
      <c r="E285">
        <v>1.67717545082269e-5</v>
      </c>
      <c r="F285">
        <v>1.34980810200171e-5</v>
      </c>
      <c r="G285">
        <v>0</v>
      </c>
      <c r="H285" t="s">
        <v>290</v>
      </c>
      <c r="I285" t="s">
        <v>290</v>
      </c>
      <c r="J285" t="s">
        <v>290</v>
      </c>
    </row>
    <row r="286" spans="1:10">
      <c r="A286">
        <v>285</v>
      </c>
      <c r="B286">
        <v>32</v>
      </c>
      <c r="C286">
        <v>33</v>
      </c>
      <c r="D286" t="s">
        <v>594</v>
      </c>
      <c r="E286">
        <v>1.53935702201125e-5</v>
      </c>
      <c r="F286">
        <v>1.36931977902905e-5</v>
      </c>
      <c r="G286">
        <v>0</v>
      </c>
      <c r="H286" t="s">
        <v>290</v>
      </c>
      <c r="I286" t="s">
        <v>290</v>
      </c>
      <c r="J286" t="s">
        <v>290</v>
      </c>
    </row>
    <row r="287" spans="1:10">
      <c r="A287">
        <v>286</v>
      </c>
      <c r="B287">
        <v>40</v>
      </c>
      <c r="C287">
        <v>41</v>
      </c>
      <c r="D287" t="s">
        <v>595</v>
      </c>
      <c r="E287">
        <v>1.52240752186117e-5</v>
      </c>
      <c r="F287">
        <v>1.45749688445329e-5</v>
      </c>
      <c r="G287">
        <v>0</v>
      </c>
      <c r="H287" t="s">
        <v>290</v>
      </c>
      <c r="I287" t="s">
        <v>290</v>
      </c>
      <c r="J287" t="s">
        <v>290</v>
      </c>
    </row>
    <row r="288" spans="1:10">
      <c r="A288">
        <v>287</v>
      </c>
      <c r="B288">
        <v>15</v>
      </c>
      <c r="C288">
        <v>16</v>
      </c>
      <c r="D288" t="s">
        <v>596</v>
      </c>
      <c r="E288">
        <v>1.51728090941106e-5</v>
      </c>
      <c r="F288">
        <v>1.2984859069382e-5</v>
      </c>
      <c r="G288">
        <v>0</v>
      </c>
      <c r="H288" t="s">
        <v>290</v>
      </c>
      <c r="I288" t="s">
        <v>290</v>
      </c>
      <c r="J288" t="s">
        <v>290</v>
      </c>
    </row>
    <row r="289" spans="1:10">
      <c r="A289">
        <v>288</v>
      </c>
      <c r="B289">
        <v>31</v>
      </c>
      <c r="C289">
        <v>32</v>
      </c>
      <c r="D289" t="s">
        <v>597</v>
      </c>
      <c r="E289">
        <v>1.34789167304916e-5</v>
      </c>
      <c r="F289">
        <v>1.14792402200926e-5</v>
      </c>
      <c r="G289">
        <v>0</v>
      </c>
      <c r="H289" t="s">
        <v>290</v>
      </c>
      <c r="I289" t="s">
        <v>290</v>
      </c>
      <c r="J289" t="s">
        <v>290</v>
      </c>
    </row>
    <row r="290" spans="1:10">
      <c r="A290">
        <v>289</v>
      </c>
      <c r="B290">
        <v>41</v>
      </c>
      <c r="C290">
        <v>42</v>
      </c>
      <c r="D290" t="s">
        <v>598</v>
      </c>
      <c r="E290">
        <v>1.28850941791825e-5</v>
      </c>
      <c r="F290">
        <v>1.1931579089746e-5</v>
      </c>
      <c r="G290">
        <v>0</v>
      </c>
      <c r="H290" t="s">
        <v>290</v>
      </c>
      <c r="I290" t="s">
        <v>290</v>
      </c>
      <c r="J290" t="s">
        <v>290</v>
      </c>
    </row>
    <row r="291" spans="1:10">
      <c r="A291">
        <v>290</v>
      </c>
      <c r="B291">
        <v>25</v>
      </c>
      <c r="C291">
        <v>26</v>
      </c>
      <c r="D291" t="s">
        <v>599</v>
      </c>
      <c r="E291">
        <v>1.20018031338987e-5</v>
      </c>
      <c r="F291">
        <v>1.04260337542235e-5</v>
      </c>
      <c r="G291">
        <v>0</v>
      </c>
      <c r="H291" t="s">
        <v>290</v>
      </c>
      <c r="I291" t="s">
        <v>290</v>
      </c>
      <c r="J291" t="s">
        <v>290</v>
      </c>
    </row>
    <row r="292" spans="1:10">
      <c r="A292">
        <v>291</v>
      </c>
      <c r="B292">
        <v>45</v>
      </c>
      <c r="C292">
        <v>46</v>
      </c>
      <c r="D292" t="s">
        <v>600</v>
      </c>
      <c r="E292">
        <v>1.12150187760562e-5</v>
      </c>
      <c r="F292">
        <v>9.33447689289118e-6</v>
      </c>
      <c r="G292">
        <v>0</v>
      </c>
      <c r="H292" t="s">
        <v>290</v>
      </c>
      <c r="I292" t="s">
        <v>290</v>
      </c>
      <c r="J292" t="s">
        <v>290</v>
      </c>
    </row>
    <row r="293" spans="1:10">
      <c r="A293">
        <v>292</v>
      </c>
      <c r="B293">
        <v>46</v>
      </c>
      <c r="C293">
        <v>47</v>
      </c>
      <c r="D293" t="s">
        <v>601</v>
      </c>
      <c r="E293">
        <v>8.93234996510728e-6</v>
      </c>
      <c r="F293">
        <v>7.89395475258714e-6</v>
      </c>
      <c r="G293">
        <v>0</v>
      </c>
      <c r="H293" t="s">
        <v>290</v>
      </c>
      <c r="I293" t="s">
        <v>290</v>
      </c>
      <c r="J293" t="s">
        <v>290</v>
      </c>
    </row>
  </sheetData>
  <conditionalFormatting sqref="H2:H51">
    <cfRule type="expression" dxfId="0" priority="1">
      <formula>LEFT(H2,9)="Confirmed"</formula>
    </cfRule>
    <cfRule type="expression" dxfId="1" priority="2">
      <formula>LEFT(H2,9)="Supported"</formula>
    </cfRule>
    <cfRule type="expression" dxfId="2" priority="3">
      <formula>LEFT(H2,6)="GATMDA"</formula>
    </cfRule>
    <cfRule type="expression" dxfId="3" priority="4">
      <formula>LEFT(H2,7)="Pending"</formula>
    </cfRule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1"/>
  <sheetViews>
    <sheetView workbookViewId="0">
      <selection activeCell="A1" sqref="A1"/>
    </sheetView>
  </sheetViews>
  <sheetFormatPr defaultColWidth="9" defaultRowHeight="16.8"/>
  <cols>
    <col min="1" max="1" width="8" customWidth="1"/>
    <col min="2" max="2" width="18" customWidth="1"/>
    <col min="3" max="3" width="12" customWidth="1"/>
    <col min="4" max="4" width="28" customWidth="1"/>
    <col min="5" max="6" width="14" customWidth="1"/>
    <col min="7" max="7" width="20" customWidth="1"/>
    <col min="8" max="8" width="34" customWidth="1"/>
    <col min="9" max="9" width="30" customWidth="1"/>
    <col min="10" max="10" width="62" customWidth="1"/>
    <col min="11" max="11" width="38" customWidth="1"/>
    <col min="12" max="12" width="34" customWidth="1"/>
    <col min="13" max="13" width="18" customWidth="1"/>
  </cols>
  <sheetData>
    <row r="1" ht="52.8" customHeight="1" spans="1:13">
      <c r="A1" s="11" t="s">
        <v>154</v>
      </c>
      <c r="B1" s="11" t="s">
        <v>155</v>
      </c>
      <c r="C1" s="11" t="s">
        <v>156</v>
      </c>
      <c r="D1" s="11" t="s">
        <v>157</v>
      </c>
      <c r="E1" s="11" t="s">
        <v>158</v>
      </c>
      <c r="F1" s="11" t="s">
        <v>159</v>
      </c>
      <c r="G1" s="11" t="s">
        <v>160</v>
      </c>
      <c r="H1" s="11" t="s">
        <v>161</v>
      </c>
      <c r="I1" s="11" t="s">
        <v>162</v>
      </c>
      <c r="J1" s="11" t="s">
        <v>163</v>
      </c>
      <c r="K1" s="11" t="s">
        <v>164</v>
      </c>
      <c r="L1" s="11" t="s">
        <v>165</v>
      </c>
      <c r="M1" s="11" t="s">
        <v>166</v>
      </c>
    </row>
    <row r="2" ht="105.6" customHeight="1" spans="1:13">
      <c r="A2">
        <v>1</v>
      </c>
      <c r="B2">
        <v>108</v>
      </c>
      <c r="C2">
        <v>109</v>
      </c>
      <c r="D2" t="s">
        <v>167</v>
      </c>
      <c r="E2">
        <v>0.64931703209877</v>
      </c>
      <c r="F2">
        <v>0.0638182685020988</v>
      </c>
      <c r="G2">
        <v>0</v>
      </c>
      <c r="H2" s="8" t="s">
        <v>168</v>
      </c>
      <c r="I2" s="8" t="s">
        <v>602</v>
      </c>
      <c r="J2" s="8" t="s">
        <v>603</v>
      </c>
      <c r="K2" s="8" t="s">
        <v>604</v>
      </c>
      <c r="L2" s="8" t="s">
        <v>172</v>
      </c>
      <c r="M2" s="8" t="s">
        <v>173</v>
      </c>
    </row>
    <row r="3" ht="105.6" customHeight="1" spans="1:13">
      <c r="A3">
        <v>2</v>
      </c>
      <c r="B3">
        <v>106</v>
      </c>
      <c r="C3">
        <v>107</v>
      </c>
      <c r="D3" t="s">
        <v>178</v>
      </c>
      <c r="E3">
        <v>0.631730955839157</v>
      </c>
      <c r="F3">
        <v>0.0589704829593829</v>
      </c>
      <c r="G3">
        <v>0</v>
      </c>
      <c r="H3" s="8" t="s">
        <v>168</v>
      </c>
      <c r="I3" s="8" t="s">
        <v>605</v>
      </c>
      <c r="J3" s="8" t="s">
        <v>606</v>
      </c>
      <c r="K3" s="8" t="s">
        <v>607</v>
      </c>
      <c r="L3" s="8" t="s">
        <v>608</v>
      </c>
      <c r="M3" s="8" t="s">
        <v>173</v>
      </c>
    </row>
    <row r="4" ht="105.6" customHeight="1" spans="1:13">
      <c r="A4">
        <v>3</v>
      </c>
      <c r="B4">
        <v>60</v>
      </c>
      <c r="C4">
        <v>61</v>
      </c>
      <c r="D4" t="s">
        <v>190</v>
      </c>
      <c r="E4">
        <v>0.612934160232544</v>
      </c>
      <c r="F4">
        <v>0.0573580291510146</v>
      </c>
      <c r="G4">
        <v>0</v>
      </c>
      <c r="H4" s="8" t="s">
        <v>168</v>
      </c>
      <c r="I4" s="8" t="s">
        <v>609</v>
      </c>
      <c r="J4" s="8" t="s">
        <v>610</v>
      </c>
      <c r="K4" s="8" t="s">
        <v>611</v>
      </c>
      <c r="L4" s="8" t="s">
        <v>172</v>
      </c>
      <c r="M4" s="8" t="s">
        <v>173</v>
      </c>
    </row>
    <row r="5" ht="105.6" customHeight="1" spans="1:13">
      <c r="A5">
        <v>4</v>
      </c>
      <c r="B5">
        <v>4</v>
      </c>
      <c r="C5">
        <v>5</v>
      </c>
      <c r="D5" t="s">
        <v>174</v>
      </c>
      <c r="E5">
        <v>0.585162448883057</v>
      </c>
      <c r="F5">
        <v>0.0658911596383596</v>
      </c>
      <c r="G5">
        <v>1</v>
      </c>
      <c r="H5" s="8" t="s">
        <v>168</v>
      </c>
      <c r="I5" s="8" t="s">
        <v>609</v>
      </c>
      <c r="J5" s="8" t="s">
        <v>612</v>
      </c>
      <c r="K5" s="8" t="s">
        <v>611</v>
      </c>
      <c r="L5" s="8" t="s">
        <v>172</v>
      </c>
      <c r="M5" s="8" t="s">
        <v>173</v>
      </c>
    </row>
    <row r="6" ht="145.2" customHeight="1" spans="1:13">
      <c r="A6">
        <v>5</v>
      </c>
      <c r="B6">
        <v>93</v>
      </c>
      <c r="C6">
        <v>94</v>
      </c>
      <c r="D6" t="s">
        <v>204</v>
      </c>
      <c r="E6">
        <v>0.52971970140934</v>
      </c>
      <c r="F6">
        <v>0.0466646973879963</v>
      </c>
      <c r="G6">
        <v>0</v>
      </c>
      <c r="H6" s="8" t="s">
        <v>168</v>
      </c>
      <c r="I6" s="8" t="s">
        <v>613</v>
      </c>
      <c r="J6" s="8" t="s">
        <v>614</v>
      </c>
      <c r="K6" s="8" t="s">
        <v>615</v>
      </c>
      <c r="L6" s="8" t="s">
        <v>172</v>
      </c>
      <c r="M6" s="8" t="s">
        <v>173</v>
      </c>
    </row>
    <row r="7" ht="158.4" customHeight="1" spans="1:13">
      <c r="A7">
        <v>6</v>
      </c>
      <c r="B7">
        <v>154</v>
      </c>
      <c r="C7">
        <v>155</v>
      </c>
      <c r="D7" t="s">
        <v>182</v>
      </c>
      <c r="E7">
        <v>0.50680436193943</v>
      </c>
      <c r="F7">
        <v>0.112484171148775</v>
      </c>
      <c r="G7">
        <v>0</v>
      </c>
      <c r="H7" s="8" t="s">
        <v>168</v>
      </c>
      <c r="I7" s="8" t="s">
        <v>616</v>
      </c>
      <c r="J7" s="8" t="s">
        <v>617</v>
      </c>
      <c r="K7" s="8" t="s">
        <v>611</v>
      </c>
      <c r="L7" s="8" t="s">
        <v>608</v>
      </c>
      <c r="M7" s="8" t="s">
        <v>173</v>
      </c>
    </row>
    <row r="8" ht="92.4" customHeight="1" spans="1:13">
      <c r="A8">
        <v>7</v>
      </c>
      <c r="B8">
        <v>230</v>
      </c>
      <c r="C8">
        <v>231</v>
      </c>
      <c r="D8" t="s">
        <v>186</v>
      </c>
      <c r="E8">
        <v>0.493747213482857</v>
      </c>
      <c r="F8">
        <v>0.118879461884679</v>
      </c>
      <c r="G8">
        <v>1</v>
      </c>
      <c r="H8" s="8" t="s">
        <v>168</v>
      </c>
      <c r="I8" s="8" t="s">
        <v>609</v>
      </c>
      <c r="J8" s="8" t="s">
        <v>618</v>
      </c>
      <c r="K8" s="8" t="s">
        <v>611</v>
      </c>
      <c r="L8" s="8" t="s">
        <v>172</v>
      </c>
      <c r="M8" s="8" t="s">
        <v>173</v>
      </c>
    </row>
    <row r="9" ht="92.4" customHeight="1" spans="1:13">
      <c r="A9">
        <v>8</v>
      </c>
      <c r="B9">
        <v>224</v>
      </c>
      <c r="C9">
        <v>225</v>
      </c>
      <c r="D9" t="s">
        <v>192</v>
      </c>
      <c r="E9">
        <v>0.471123945713043</v>
      </c>
      <c r="F9">
        <v>0.112084292905626</v>
      </c>
      <c r="G9">
        <v>0</v>
      </c>
      <c r="H9" s="8" t="s">
        <v>168</v>
      </c>
      <c r="I9" s="8" t="s">
        <v>619</v>
      </c>
      <c r="J9" s="8" t="s">
        <v>620</v>
      </c>
      <c r="K9" s="8" t="s">
        <v>621</v>
      </c>
      <c r="L9" s="8" t="s">
        <v>608</v>
      </c>
      <c r="M9" s="8" t="s">
        <v>173</v>
      </c>
    </row>
    <row r="10" ht="132" customHeight="1" spans="1:13">
      <c r="A10">
        <v>9</v>
      </c>
      <c r="B10">
        <v>168</v>
      </c>
      <c r="C10">
        <v>169</v>
      </c>
      <c r="D10" t="s">
        <v>196</v>
      </c>
      <c r="E10">
        <v>0.46937894821167</v>
      </c>
      <c r="F10">
        <v>0.114074091914699</v>
      </c>
      <c r="G10">
        <v>0</v>
      </c>
      <c r="H10" s="8" t="s">
        <v>168</v>
      </c>
      <c r="I10" s="8" t="s">
        <v>622</v>
      </c>
      <c r="J10" s="8" t="s">
        <v>623</v>
      </c>
      <c r="K10" s="8" t="s">
        <v>624</v>
      </c>
      <c r="L10" s="8" t="s">
        <v>608</v>
      </c>
      <c r="M10" s="8" t="s">
        <v>173</v>
      </c>
    </row>
    <row r="11" ht="92.4" customHeight="1" spans="1:13">
      <c r="A11">
        <v>10</v>
      </c>
      <c r="B11">
        <v>110</v>
      </c>
      <c r="C11">
        <v>111</v>
      </c>
      <c r="D11" t="s">
        <v>216</v>
      </c>
      <c r="E11">
        <v>0.465246787667275</v>
      </c>
      <c r="F11">
        <v>0.0776427309401238</v>
      </c>
      <c r="G11">
        <v>0</v>
      </c>
      <c r="H11" s="8" t="s">
        <v>168</v>
      </c>
      <c r="I11" s="8" t="s">
        <v>625</v>
      </c>
      <c r="J11" s="8" t="s">
        <v>626</v>
      </c>
      <c r="K11" s="8" t="s">
        <v>607</v>
      </c>
      <c r="L11" s="8" t="s">
        <v>608</v>
      </c>
      <c r="M11" s="8" t="s">
        <v>173</v>
      </c>
    </row>
    <row r="12" ht="105.6" customHeight="1" spans="1:13">
      <c r="A12">
        <v>11</v>
      </c>
      <c r="B12">
        <v>255</v>
      </c>
      <c r="C12">
        <v>256</v>
      </c>
      <c r="D12" t="s">
        <v>200</v>
      </c>
      <c r="E12">
        <v>0.420972087979317</v>
      </c>
      <c r="F12">
        <v>0.116618423344872</v>
      </c>
      <c r="G12">
        <v>0</v>
      </c>
      <c r="H12" s="8" t="s">
        <v>168</v>
      </c>
      <c r="I12" s="8" t="s">
        <v>627</v>
      </c>
      <c r="J12" s="8" t="s">
        <v>628</v>
      </c>
      <c r="K12" s="8" t="s">
        <v>629</v>
      </c>
      <c r="L12" s="8" t="s">
        <v>172</v>
      </c>
      <c r="M12" s="8" t="s">
        <v>173</v>
      </c>
    </row>
    <row r="13" ht="145.2" customHeight="1" spans="1:13">
      <c r="A13">
        <v>12</v>
      </c>
      <c r="B13">
        <v>68</v>
      </c>
      <c r="C13">
        <v>69</v>
      </c>
      <c r="D13" t="s">
        <v>228</v>
      </c>
      <c r="E13">
        <v>0.39792757332325</v>
      </c>
      <c r="F13">
        <v>0.09385867879978</v>
      </c>
      <c r="G13">
        <v>0</v>
      </c>
      <c r="H13" s="8" t="s">
        <v>168</v>
      </c>
      <c r="I13" s="8" t="s">
        <v>630</v>
      </c>
      <c r="J13" s="8" t="s">
        <v>631</v>
      </c>
      <c r="K13" s="8" t="s">
        <v>632</v>
      </c>
      <c r="L13" s="8" t="s">
        <v>172</v>
      </c>
      <c r="M13" s="8" t="s">
        <v>173</v>
      </c>
    </row>
    <row r="14" ht="118.8" customHeight="1" spans="1:13">
      <c r="A14">
        <v>13</v>
      </c>
      <c r="B14">
        <v>254</v>
      </c>
      <c r="C14">
        <v>255</v>
      </c>
      <c r="D14" t="s">
        <v>224</v>
      </c>
      <c r="E14">
        <v>0.394535884261131</v>
      </c>
      <c r="F14">
        <v>0.110674024900259</v>
      </c>
      <c r="G14">
        <v>0</v>
      </c>
      <c r="H14" s="8" t="s">
        <v>168</v>
      </c>
      <c r="I14" s="8" t="s">
        <v>633</v>
      </c>
      <c r="J14" s="8" t="s">
        <v>634</v>
      </c>
      <c r="K14" s="8" t="s">
        <v>632</v>
      </c>
      <c r="L14" s="8" t="s">
        <v>608</v>
      </c>
      <c r="M14" s="8" t="s">
        <v>173</v>
      </c>
    </row>
    <row r="15" ht="92.4" customHeight="1" spans="1:13">
      <c r="A15">
        <v>14</v>
      </c>
      <c r="B15">
        <v>260</v>
      </c>
      <c r="C15">
        <v>261</v>
      </c>
      <c r="D15" t="s">
        <v>220</v>
      </c>
      <c r="E15">
        <v>0.38502556681633</v>
      </c>
      <c r="F15">
        <v>0.0624925328682619</v>
      </c>
      <c r="G15">
        <v>0</v>
      </c>
      <c r="H15" s="8" t="s">
        <v>168</v>
      </c>
      <c r="I15" s="8" t="s">
        <v>635</v>
      </c>
      <c r="J15" s="8" t="s">
        <v>636</v>
      </c>
      <c r="K15" s="8" t="s">
        <v>637</v>
      </c>
      <c r="L15" s="8" t="s">
        <v>608</v>
      </c>
      <c r="M15" s="8" t="s">
        <v>173</v>
      </c>
    </row>
    <row r="16" ht="158.4" customHeight="1" spans="1:13">
      <c r="A16">
        <v>15</v>
      </c>
      <c r="B16">
        <v>257</v>
      </c>
      <c r="C16">
        <v>258</v>
      </c>
      <c r="D16" t="s">
        <v>250</v>
      </c>
      <c r="E16">
        <v>0.37315274477005</v>
      </c>
      <c r="F16">
        <v>0.109584625499563</v>
      </c>
      <c r="G16">
        <v>0</v>
      </c>
      <c r="H16" s="8" t="s">
        <v>229</v>
      </c>
      <c r="I16" s="8" t="s">
        <v>638</v>
      </c>
      <c r="J16" s="8" t="s">
        <v>639</v>
      </c>
      <c r="K16" s="8" t="s">
        <v>640</v>
      </c>
      <c r="L16" s="8" t="s">
        <v>641</v>
      </c>
      <c r="M16" s="8" t="s">
        <v>234</v>
      </c>
    </row>
    <row r="17" ht="171.6" customHeight="1" spans="1:13">
      <c r="A17">
        <v>16</v>
      </c>
      <c r="B17">
        <v>105</v>
      </c>
      <c r="C17">
        <v>106</v>
      </c>
      <c r="D17" t="s">
        <v>246</v>
      </c>
      <c r="E17">
        <v>0.37021466344595</v>
      </c>
      <c r="F17">
        <v>0.115024773404203</v>
      </c>
      <c r="G17">
        <v>0</v>
      </c>
      <c r="H17" s="8" t="s">
        <v>229</v>
      </c>
      <c r="I17" s="8" t="s">
        <v>642</v>
      </c>
      <c r="J17" s="8" t="s">
        <v>643</v>
      </c>
      <c r="K17" s="8" t="s">
        <v>607</v>
      </c>
      <c r="L17" s="8" t="s">
        <v>644</v>
      </c>
      <c r="M17" s="8" t="s">
        <v>234</v>
      </c>
    </row>
    <row r="18" ht="118.8" customHeight="1" spans="1:13">
      <c r="A18">
        <v>17</v>
      </c>
      <c r="B18">
        <v>183</v>
      </c>
      <c r="C18">
        <v>184</v>
      </c>
      <c r="D18" t="s">
        <v>210</v>
      </c>
      <c r="E18">
        <v>0.352891467511654</v>
      </c>
      <c r="F18">
        <v>0.105585827079769</v>
      </c>
      <c r="G18">
        <v>0</v>
      </c>
      <c r="H18" s="8" t="s">
        <v>168</v>
      </c>
      <c r="I18" s="8" t="s">
        <v>645</v>
      </c>
      <c r="J18" s="8" t="s">
        <v>646</v>
      </c>
      <c r="K18" s="8" t="s">
        <v>637</v>
      </c>
      <c r="L18" s="8" t="s">
        <v>608</v>
      </c>
      <c r="M18" s="8" t="s">
        <v>173</v>
      </c>
    </row>
    <row r="19" ht="118.8" customHeight="1" spans="1:13">
      <c r="A19">
        <v>18</v>
      </c>
      <c r="B19">
        <v>165</v>
      </c>
      <c r="C19">
        <v>166</v>
      </c>
      <c r="D19" t="s">
        <v>237</v>
      </c>
      <c r="E19">
        <v>0.351856678724289</v>
      </c>
      <c r="F19">
        <v>0.10257792100667</v>
      </c>
      <c r="G19">
        <v>0</v>
      </c>
      <c r="H19" s="8" t="s">
        <v>168</v>
      </c>
      <c r="I19" s="8" t="s">
        <v>647</v>
      </c>
      <c r="J19" s="8" t="s">
        <v>648</v>
      </c>
      <c r="K19" s="8" t="s">
        <v>649</v>
      </c>
      <c r="L19" s="8" t="s">
        <v>172</v>
      </c>
      <c r="M19" s="8" t="s">
        <v>173</v>
      </c>
    </row>
    <row r="20" ht="105.6" customHeight="1" spans="1:13">
      <c r="A20">
        <v>19</v>
      </c>
      <c r="B20">
        <v>136</v>
      </c>
      <c r="C20">
        <v>137</v>
      </c>
      <c r="D20" t="s">
        <v>214</v>
      </c>
      <c r="E20">
        <v>0.328816699981689</v>
      </c>
      <c r="F20">
        <v>0.100721247332897</v>
      </c>
      <c r="G20">
        <v>0</v>
      </c>
      <c r="H20" s="8" t="s">
        <v>168</v>
      </c>
      <c r="I20" s="8" t="s">
        <v>650</v>
      </c>
      <c r="J20" s="8" t="s">
        <v>651</v>
      </c>
      <c r="K20" s="8" t="s">
        <v>637</v>
      </c>
      <c r="L20" s="8" t="s">
        <v>608</v>
      </c>
      <c r="M20" s="8" t="s">
        <v>173</v>
      </c>
    </row>
    <row r="21" ht="105.6" customHeight="1" spans="1:13">
      <c r="A21">
        <v>20</v>
      </c>
      <c r="B21">
        <v>281</v>
      </c>
      <c r="C21">
        <v>282</v>
      </c>
      <c r="D21" t="s">
        <v>255</v>
      </c>
      <c r="E21">
        <v>0.300571468472481</v>
      </c>
      <c r="F21">
        <v>0.0859611903463492</v>
      </c>
      <c r="G21">
        <v>0</v>
      </c>
      <c r="H21" s="8" t="s">
        <v>168</v>
      </c>
      <c r="I21" s="8" t="s">
        <v>652</v>
      </c>
      <c r="J21" s="8" t="s">
        <v>653</v>
      </c>
      <c r="K21" s="8" t="s">
        <v>649</v>
      </c>
      <c r="L21" s="8" t="s">
        <v>608</v>
      </c>
      <c r="M21" s="8" t="s">
        <v>173</v>
      </c>
    </row>
    <row r="22" ht="171.6" customHeight="1" spans="1:13">
      <c r="A22">
        <v>21</v>
      </c>
      <c r="B22">
        <v>100</v>
      </c>
      <c r="C22">
        <v>101</v>
      </c>
      <c r="D22" t="s">
        <v>263</v>
      </c>
      <c r="E22">
        <v>0.293320520222187</v>
      </c>
      <c r="F22">
        <v>0.104680034196833</v>
      </c>
      <c r="G22">
        <v>0</v>
      </c>
      <c r="H22" s="8" t="s">
        <v>168</v>
      </c>
      <c r="I22" s="8" t="s">
        <v>654</v>
      </c>
      <c r="J22" s="8" t="s">
        <v>655</v>
      </c>
      <c r="K22" s="8" t="s">
        <v>656</v>
      </c>
      <c r="L22" s="8" t="s">
        <v>172</v>
      </c>
      <c r="M22" s="8" t="s">
        <v>173</v>
      </c>
    </row>
    <row r="23" ht="92.4" customHeight="1" spans="1:13">
      <c r="A23">
        <v>22</v>
      </c>
      <c r="B23">
        <v>137</v>
      </c>
      <c r="C23">
        <v>138</v>
      </c>
      <c r="D23" t="s">
        <v>235</v>
      </c>
      <c r="E23">
        <v>0.277091732621193</v>
      </c>
      <c r="F23">
        <v>0.0903541172152099</v>
      </c>
      <c r="G23">
        <v>0</v>
      </c>
      <c r="H23" s="8" t="s">
        <v>168</v>
      </c>
      <c r="I23" s="8" t="s">
        <v>650</v>
      </c>
      <c r="J23" s="8" t="s">
        <v>657</v>
      </c>
      <c r="K23" s="8" t="s">
        <v>637</v>
      </c>
      <c r="L23" s="8" t="s">
        <v>608</v>
      </c>
      <c r="M23" s="8" t="s">
        <v>173</v>
      </c>
    </row>
    <row r="24" ht="105.6" customHeight="1" spans="1:13">
      <c r="A24">
        <v>23</v>
      </c>
      <c r="B24">
        <v>181</v>
      </c>
      <c r="C24">
        <v>182</v>
      </c>
      <c r="D24" t="s">
        <v>208</v>
      </c>
      <c r="E24">
        <v>0.255977545678616</v>
      </c>
      <c r="F24">
        <v>0.0825579402789273</v>
      </c>
      <c r="G24">
        <v>1</v>
      </c>
      <c r="H24" s="8" t="s">
        <v>168</v>
      </c>
      <c r="I24" s="8" t="s">
        <v>658</v>
      </c>
      <c r="J24" s="8" t="s">
        <v>659</v>
      </c>
      <c r="K24" s="8" t="s">
        <v>660</v>
      </c>
      <c r="L24" s="8" t="s">
        <v>172</v>
      </c>
      <c r="M24" s="8" t="s">
        <v>173</v>
      </c>
    </row>
    <row r="25" ht="105.6" customHeight="1" spans="1:13">
      <c r="A25">
        <v>24</v>
      </c>
      <c r="B25">
        <v>145</v>
      </c>
      <c r="C25">
        <v>146</v>
      </c>
      <c r="D25" t="s">
        <v>239</v>
      </c>
      <c r="E25">
        <v>0.253587801754475</v>
      </c>
      <c r="F25">
        <v>0.0709513060068349</v>
      </c>
      <c r="G25">
        <v>0</v>
      </c>
      <c r="H25" s="8" t="s">
        <v>168</v>
      </c>
      <c r="I25" s="8" t="s">
        <v>661</v>
      </c>
      <c r="J25" s="8" t="s">
        <v>662</v>
      </c>
      <c r="K25" s="8" t="s">
        <v>663</v>
      </c>
      <c r="L25" s="8" t="s">
        <v>608</v>
      </c>
      <c r="M25" s="8" t="s">
        <v>173</v>
      </c>
    </row>
    <row r="26" ht="145.2" customHeight="1" spans="1:13">
      <c r="A26">
        <v>25</v>
      </c>
      <c r="B26">
        <v>115</v>
      </c>
      <c r="C26">
        <v>116</v>
      </c>
      <c r="D26" t="s">
        <v>418</v>
      </c>
      <c r="E26">
        <v>0.229655042290688</v>
      </c>
      <c r="F26">
        <v>0.0604509310052409</v>
      </c>
      <c r="G26">
        <v>0</v>
      </c>
      <c r="H26" s="8" t="s">
        <v>168</v>
      </c>
      <c r="I26" s="8" t="s">
        <v>664</v>
      </c>
      <c r="J26" s="8" t="s">
        <v>665</v>
      </c>
      <c r="K26" s="8" t="s">
        <v>666</v>
      </c>
      <c r="L26" s="8" t="s">
        <v>172</v>
      </c>
      <c r="M26" s="8" t="s">
        <v>173</v>
      </c>
    </row>
    <row r="27" ht="92.4" customHeight="1" spans="1:13">
      <c r="A27">
        <v>26</v>
      </c>
      <c r="B27">
        <v>118</v>
      </c>
      <c r="C27">
        <v>119</v>
      </c>
      <c r="D27" t="s">
        <v>300</v>
      </c>
      <c r="E27">
        <v>0.227949281036854</v>
      </c>
      <c r="F27">
        <v>0.0516878610566616</v>
      </c>
      <c r="G27">
        <v>0</v>
      </c>
      <c r="H27" s="8" t="s">
        <v>168</v>
      </c>
      <c r="I27" s="8" t="s">
        <v>667</v>
      </c>
      <c r="J27" s="8" t="s">
        <v>668</v>
      </c>
      <c r="K27" s="8" t="s">
        <v>669</v>
      </c>
      <c r="L27" s="8" t="s">
        <v>172</v>
      </c>
      <c r="M27" s="8" t="s">
        <v>173</v>
      </c>
    </row>
    <row r="28" ht="158.4" customHeight="1" spans="1:13">
      <c r="A28">
        <v>27</v>
      </c>
      <c r="B28">
        <v>59</v>
      </c>
      <c r="C28">
        <v>60</v>
      </c>
      <c r="D28" t="s">
        <v>268</v>
      </c>
      <c r="E28">
        <v>0.225016239285469</v>
      </c>
      <c r="F28">
        <v>0.0492270670142161</v>
      </c>
      <c r="G28">
        <v>0</v>
      </c>
      <c r="H28" s="8" t="s">
        <v>168</v>
      </c>
      <c r="I28" s="8" t="s">
        <v>670</v>
      </c>
      <c r="J28" s="8" t="s">
        <v>671</v>
      </c>
      <c r="K28" s="8" t="s">
        <v>672</v>
      </c>
      <c r="L28" s="8" t="s">
        <v>172</v>
      </c>
      <c r="M28" s="8" t="s">
        <v>173</v>
      </c>
    </row>
    <row r="29" ht="92.4" customHeight="1" spans="1:13">
      <c r="A29">
        <v>28</v>
      </c>
      <c r="B29">
        <v>119</v>
      </c>
      <c r="C29">
        <v>120</v>
      </c>
      <c r="D29" t="s">
        <v>308</v>
      </c>
      <c r="E29">
        <v>0.218102358281612</v>
      </c>
      <c r="F29">
        <v>0.049020355060112</v>
      </c>
      <c r="G29">
        <v>0</v>
      </c>
      <c r="H29" s="8" t="s">
        <v>168</v>
      </c>
      <c r="I29" s="8" t="s">
        <v>673</v>
      </c>
      <c r="J29" s="8" t="s">
        <v>674</v>
      </c>
      <c r="K29" s="8" t="s">
        <v>675</v>
      </c>
      <c r="L29" s="8" t="s">
        <v>172</v>
      </c>
      <c r="M29" s="8" t="s">
        <v>173</v>
      </c>
    </row>
    <row r="30" ht="92.4" customHeight="1" spans="1:13">
      <c r="A30">
        <v>29</v>
      </c>
      <c r="B30">
        <v>2</v>
      </c>
      <c r="C30">
        <v>3</v>
      </c>
      <c r="D30" t="s">
        <v>273</v>
      </c>
      <c r="E30">
        <v>0.215033157169819</v>
      </c>
      <c r="F30">
        <v>0.0544745994785606</v>
      </c>
      <c r="G30">
        <v>0</v>
      </c>
      <c r="H30" s="8" t="s">
        <v>168</v>
      </c>
      <c r="I30" s="8" t="s">
        <v>676</v>
      </c>
      <c r="J30" s="8" t="s">
        <v>677</v>
      </c>
      <c r="K30" s="8" t="s">
        <v>678</v>
      </c>
      <c r="L30" s="8" t="s">
        <v>172</v>
      </c>
      <c r="M30" s="8" t="s">
        <v>173</v>
      </c>
    </row>
    <row r="31" ht="79.2" customHeight="1" spans="1:13">
      <c r="A31">
        <v>30</v>
      </c>
      <c r="B31">
        <v>120</v>
      </c>
      <c r="C31">
        <v>121</v>
      </c>
      <c r="D31" t="s">
        <v>361</v>
      </c>
      <c r="E31">
        <v>0.191136135160923</v>
      </c>
      <c r="F31">
        <v>0.045546413119711</v>
      </c>
      <c r="G31">
        <v>0</v>
      </c>
      <c r="H31" s="8" t="s">
        <v>240</v>
      </c>
      <c r="I31" s="8" t="s">
        <v>290</v>
      </c>
      <c r="J31" s="8" t="s">
        <v>679</v>
      </c>
      <c r="K31" s="8" t="s">
        <v>290</v>
      </c>
      <c r="L31" s="8" t="s">
        <v>346</v>
      </c>
      <c r="M31" s="8" t="s">
        <v>245</v>
      </c>
    </row>
    <row r="32" ht="145.2" customHeight="1" spans="1:13">
      <c r="A32">
        <v>31</v>
      </c>
      <c r="B32">
        <v>5</v>
      </c>
      <c r="C32">
        <v>6</v>
      </c>
      <c r="D32" t="s">
        <v>314</v>
      </c>
      <c r="E32">
        <v>0.187738567590714</v>
      </c>
      <c r="F32">
        <v>0.0656295905030473</v>
      </c>
      <c r="G32">
        <v>0</v>
      </c>
      <c r="H32" s="8" t="s">
        <v>168</v>
      </c>
      <c r="I32" s="8" t="s">
        <v>680</v>
      </c>
      <c r="J32" s="8" t="s">
        <v>681</v>
      </c>
      <c r="K32" s="8" t="s">
        <v>682</v>
      </c>
      <c r="L32" s="8" t="s">
        <v>172</v>
      </c>
      <c r="M32" s="8" t="s">
        <v>173</v>
      </c>
    </row>
    <row r="33" ht="145.2" customHeight="1" spans="1:13">
      <c r="A33">
        <v>32</v>
      </c>
      <c r="B33">
        <v>159</v>
      </c>
      <c r="C33">
        <v>160</v>
      </c>
      <c r="D33" t="s">
        <v>259</v>
      </c>
      <c r="E33">
        <v>0.178509101271629</v>
      </c>
      <c r="F33">
        <v>0.0575578664487023</v>
      </c>
      <c r="G33">
        <v>0</v>
      </c>
      <c r="H33" s="8" t="s">
        <v>168</v>
      </c>
      <c r="I33" s="8" t="s">
        <v>683</v>
      </c>
      <c r="J33" s="8" t="s">
        <v>684</v>
      </c>
      <c r="K33" s="8" t="s">
        <v>685</v>
      </c>
      <c r="L33" s="8" t="s">
        <v>608</v>
      </c>
      <c r="M33" s="8" t="s">
        <v>173</v>
      </c>
    </row>
    <row r="34" ht="105.6" customHeight="1" spans="1:13">
      <c r="A34">
        <v>33</v>
      </c>
      <c r="B34">
        <v>114</v>
      </c>
      <c r="C34">
        <v>115</v>
      </c>
      <c r="D34" t="s">
        <v>367</v>
      </c>
      <c r="E34">
        <v>0.177182868868113</v>
      </c>
      <c r="F34">
        <v>0.0400457702199117</v>
      </c>
      <c r="G34">
        <v>0</v>
      </c>
      <c r="H34" s="8" t="s">
        <v>229</v>
      </c>
      <c r="I34" s="8" t="s">
        <v>686</v>
      </c>
      <c r="J34" s="8" t="s">
        <v>687</v>
      </c>
      <c r="K34" s="8" t="s">
        <v>688</v>
      </c>
      <c r="L34" s="8" t="s">
        <v>689</v>
      </c>
      <c r="M34" s="8" t="s">
        <v>234</v>
      </c>
    </row>
    <row r="35" ht="224.4" customHeight="1" spans="1:13">
      <c r="A35">
        <v>34</v>
      </c>
      <c r="B35">
        <v>153</v>
      </c>
      <c r="C35">
        <v>154</v>
      </c>
      <c r="D35" t="s">
        <v>276</v>
      </c>
      <c r="E35">
        <v>0.16709760427475</v>
      </c>
      <c r="F35">
        <v>0.0715297756472999</v>
      </c>
      <c r="G35">
        <v>0</v>
      </c>
      <c r="H35" s="8" t="s">
        <v>168</v>
      </c>
      <c r="I35" s="8" t="s">
        <v>690</v>
      </c>
      <c r="J35" s="8" t="s">
        <v>691</v>
      </c>
      <c r="K35" s="8" t="s">
        <v>692</v>
      </c>
      <c r="L35" s="8" t="s">
        <v>172</v>
      </c>
      <c r="M35" s="8" t="s">
        <v>173</v>
      </c>
    </row>
    <row r="36" ht="92.4" customHeight="1" spans="1:13">
      <c r="A36">
        <v>35</v>
      </c>
      <c r="B36">
        <v>62</v>
      </c>
      <c r="C36">
        <v>63</v>
      </c>
      <c r="D36" t="s">
        <v>365</v>
      </c>
      <c r="E36">
        <v>0.160254807770252</v>
      </c>
      <c r="F36">
        <v>0.0578673599077517</v>
      </c>
      <c r="G36">
        <v>0</v>
      </c>
      <c r="H36" s="8" t="s">
        <v>168</v>
      </c>
      <c r="I36" s="8" t="s">
        <v>693</v>
      </c>
      <c r="J36" s="8" t="s">
        <v>694</v>
      </c>
      <c r="K36" s="8" t="s">
        <v>637</v>
      </c>
      <c r="L36" s="8" t="s">
        <v>608</v>
      </c>
      <c r="M36" s="8" t="s">
        <v>173</v>
      </c>
    </row>
    <row r="37" ht="198" customHeight="1" spans="1:13">
      <c r="A37">
        <v>36</v>
      </c>
      <c r="B37">
        <v>161</v>
      </c>
      <c r="C37">
        <v>162</v>
      </c>
      <c r="D37" t="s">
        <v>280</v>
      </c>
      <c r="E37">
        <v>0.15023371130228</v>
      </c>
      <c r="F37">
        <v>0.054084767842873</v>
      </c>
      <c r="G37">
        <v>0</v>
      </c>
      <c r="H37" s="8" t="s">
        <v>229</v>
      </c>
      <c r="I37" s="8" t="s">
        <v>609</v>
      </c>
      <c r="J37" s="8" t="s">
        <v>695</v>
      </c>
      <c r="K37" s="8" t="s">
        <v>611</v>
      </c>
      <c r="L37" s="8" t="s">
        <v>696</v>
      </c>
      <c r="M37" s="8" t="s">
        <v>234</v>
      </c>
    </row>
    <row r="38" ht="145.2" customHeight="1" spans="1:13">
      <c r="A38">
        <v>37</v>
      </c>
      <c r="B38">
        <v>226</v>
      </c>
      <c r="C38">
        <v>227</v>
      </c>
      <c r="D38" t="s">
        <v>304</v>
      </c>
      <c r="E38">
        <v>0.13810328617692</v>
      </c>
      <c r="F38">
        <v>0.0597896131097697</v>
      </c>
      <c r="G38">
        <v>0</v>
      </c>
      <c r="H38" s="8" t="s">
        <v>229</v>
      </c>
      <c r="I38" s="8" t="s">
        <v>697</v>
      </c>
      <c r="J38" s="8" t="s">
        <v>698</v>
      </c>
      <c r="K38" s="8" t="s">
        <v>699</v>
      </c>
      <c r="L38" s="8" t="s">
        <v>700</v>
      </c>
      <c r="M38" s="8" t="s">
        <v>234</v>
      </c>
    </row>
    <row r="39" ht="105.6" customHeight="1" spans="1:13">
      <c r="A39">
        <v>38</v>
      </c>
      <c r="B39">
        <v>262</v>
      </c>
      <c r="C39">
        <v>263</v>
      </c>
      <c r="D39" t="s">
        <v>368</v>
      </c>
      <c r="E39">
        <v>0.137106610089541</v>
      </c>
      <c r="F39">
        <v>0.0504817128319552</v>
      </c>
      <c r="G39">
        <v>0</v>
      </c>
      <c r="H39" s="8" t="s">
        <v>168</v>
      </c>
      <c r="I39" s="8" t="s">
        <v>701</v>
      </c>
      <c r="J39" s="8" t="s">
        <v>702</v>
      </c>
      <c r="K39" s="8" t="s">
        <v>703</v>
      </c>
      <c r="L39" s="8" t="s">
        <v>172</v>
      </c>
      <c r="M39" s="8" t="s">
        <v>173</v>
      </c>
    </row>
    <row r="40" ht="118.8" customHeight="1" spans="1:13">
      <c r="A40">
        <v>39</v>
      </c>
      <c r="B40">
        <v>250</v>
      </c>
      <c r="C40">
        <v>251</v>
      </c>
      <c r="D40" t="s">
        <v>289</v>
      </c>
      <c r="E40">
        <v>0.133045118302107</v>
      </c>
      <c r="F40">
        <v>0.043353917266246</v>
      </c>
      <c r="G40">
        <v>0</v>
      </c>
      <c r="H40" s="8" t="s">
        <v>240</v>
      </c>
      <c r="I40" s="8" t="s">
        <v>290</v>
      </c>
      <c r="J40" s="8" t="s">
        <v>704</v>
      </c>
      <c r="K40" s="8" t="s">
        <v>290</v>
      </c>
      <c r="L40" s="8" t="s">
        <v>705</v>
      </c>
      <c r="M40" s="8" t="s">
        <v>245</v>
      </c>
    </row>
    <row r="41" ht="145.2" customHeight="1" spans="1:13">
      <c r="A41">
        <v>40</v>
      </c>
      <c r="B41">
        <v>178</v>
      </c>
      <c r="C41">
        <v>179</v>
      </c>
      <c r="D41" t="s">
        <v>284</v>
      </c>
      <c r="E41">
        <v>0.133045113831758</v>
      </c>
      <c r="F41">
        <v>0.0433538985718306</v>
      </c>
      <c r="G41">
        <v>0</v>
      </c>
      <c r="H41" s="8" t="s">
        <v>168</v>
      </c>
      <c r="I41" s="8" t="s">
        <v>706</v>
      </c>
      <c r="J41" s="8" t="s">
        <v>707</v>
      </c>
      <c r="K41" s="8" t="s">
        <v>708</v>
      </c>
      <c r="L41" s="8" t="s">
        <v>709</v>
      </c>
      <c r="M41" s="8" t="s">
        <v>173</v>
      </c>
    </row>
    <row r="42" ht="132" customHeight="1" spans="1:13">
      <c r="A42">
        <v>41</v>
      </c>
      <c r="B42">
        <v>135</v>
      </c>
      <c r="C42">
        <v>136</v>
      </c>
      <c r="D42" t="s">
        <v>298</v>
      </c>
      <c r="E42">
        <v>0.133045111596584</v>
      </c>
      <c r="F42">
        <v>0.0433539010455694</v>
      </c>
      <c r="G42">
        <v>0</v>
      </c>
      <c r="H42" s="8" t="s">
        <v>229</v>
      </c>
      <c r="I42" s="8" t="s">
        <v>710</v>
      </c>
      <c r="J42" s="8" t="s">
        <v>711</v>
      </c>
      <c r="K42" s="8" t="s">
        <v>712</v>
      </c>
      <c r="L42" s="8" t="s">
        <v>713</v>
      </c>
      <c r="M42" s="8" t="s">
        <v>234</v>
      </c>
    </row>
    <row r="43" ht="171.6" customHeight="1" spans="1:13">
      <c r="A43">
        <v>42</v>
      </c>
      <c r="B43">
        <v>134</v>
      </c>
      <c r="C43">
        <v>135</v>
      </c>
      <c r="D43" t="s">
        <v>293</v>
      </c>
      <c r="E43">
        <v>0.133045111596584</v>
      </c>
      <c r="F43">
        <v>0.0433539010455694</v>
      </c>
      <c r="G43">
        <v>0</v>
      </c>
      <c r="H43" s="8" t="s">
        <v>240</v>
      </c>
      <c r="I43" s="8" t="s">
        <v>714</v>
      </c>
      <c r="J43" s="8" t="s">
        <v>715</v>
      </c>
      <c r="K43" s="8" t="s">
        <v>716</v>
      </c>
      <c r="L43" s="8" t="s">
        <v>717</v>
      </c>
      <c r="M43" s="8" t="s">
        <v>245</v>
      </c>
    </row>
    <row r="44" ht="171.6" customHeight="1" spans="1:13">
      <c r="A44">
        <v>43</v>
      </c>
      <c r="B44">
        <v>177</v>
      </c>
      <c r="C44">
        <v>178</v>
      </c>
      <c r="D44" t="s">
        <v>312</v>
      </c>
      <c r="E44">
        <v>0.126529571413994</v>
      </c>
      <c r="F44">
        <v>0.0578162591757091</v>
      </c>
      <c r="G44">
        <v>0</v>
      </c>
      <c r="H44" s="8" t="s">
        <v>229</v>
      </c>
      <c r="I44" s="8" t="s">
        <v>706</v>
      </c>
      <c r="J44" s="8" t="s">
        <v>718</v>
      </c>
      <c r="K44" s="8" t="s">
        <v>708</v>
      </c>
      <c r="L44" s="8" t="s">
        <v>719</v>
      </c>
      <c r="M44" s="8" t="s">
        <v>234</v>
      </c>
    </row>
    <row r="45" ht="118.8" customHeight="1" spans="1:13">
      <c r="A45">
        <v>44</v>
      </c>
      <c r="B45">
        <v>139</v>
      </c>
      <c r="C45">
        <v>140</v>
      </c>
      <c r="D45" t="s">
        <v>316</v>
      </c>
      <c r="E45">
        <v>0.119835791736841</v>
      </c>
      <c r="F45">
        <v>0.03325711058861</v>
      </c>
      <c r="G45">
        <v>0</v>
      </c>
      <c r="H45" s="8" t="s">
        <v>168</v>
      </c>
      <c r="I45" s="8" t="s">
        <v>720</v>
      </c>
      <c r="J45" s="8" t="s">
        <v>721</v>
      </c>
      <c r="K45" s="8" t="s">
        <v>722</v>
      </c>
      <c r="L45" s="8" t="s">
        <v>172</v>
      </c>
      <c r="M45" s="8" t="s">
        <v>173</v>
      </c>
    </row>
    <row r="46" ht="92.4" customHeight="1" spans="1:13">
      <c r="A46">
        <v>45</v>
      </c>
      <c r="B46">
        <v>143</v>
      </c>
      <c r="C46">
        <v>144</v>
      </c>
      <c r="D46" t="s">
        <v>319</v>
      </c>
      <c r="E46">
        <v>0.119835790246725</v>
      </c>
      <c r="F46">
        <v>0.0332571103240494</v>
      </c>
      <c r="G46">
        <v>0</v>
      </c>
      <c r="H46" s="8" t="s">
        <v>168</v>
      </c>
      <c r="I46" s="8" t="s">
        <v>654</v>
      </c>
      <c r="J46" s="8" t="s">
        <v>723</v>
      </c>
      <c r="K46" s="8" t="s">
        <v>656</v>
      </c>
      <c r="L46" s="8" t="s">
        <v>172</v>
      </c>
      <c r="M46" s="8" t="s">
        <v>173</v>
      </c>
    </row>
    <row r="47" ht="184.8" customHeight="1" spans="1:13">
      <c r="A47">
        <v>46</v>
      </c>
      <c r="B47">
        <v>206</v>
      </c>
      <c r="C47">
        <v>207</v>
      </c>
      <c r="D47" t="s">
        <v>414</v>
      </c>
      <c r="E47">
        <v>0.119631614536047</v>
      </c>
      <c r="F47">
        <v>0.0378926281863244</v>
      </c>
      <c r="G47">
        <v>0</v>
      </c>
      <c r="H47" s="8" t="s">
        <v>229</v>
      </c>
      <c r="I47" s="8" t="s">
        <v>724</v>
      </c>
      <c r="J47" s="8" t="s">
        <v>725</v>
      </c>
      <c r="K47" s="8" t="s">
        <v>726</v>
      </c>
      <c r="L47" s="8" t="s">
        <v>727</v>
      </c>
      <c r="M47" s="8" t="s">
        <v>234</v>
      </c>
    </row>
    <row r="48" ht="158.4" customHeight="1" spans="1:13">
      <c r="A48">
        <v>47</v>
      </c>
      <c r="B48">
        <v>253</v>
      </c>
      <c r="C48">
        <v>254</v>
      </c>
      <c r="D48" t="s">
        <v>415</v>
      </c>
      <c r="E48">
        <v>0.119631613790989</v>
      </c>
      <c r="F48">
        <v>0.0378926321618902</v>
      </c>
      <c r="G48">
        <v>0</v>
      </c>
      <c r="H48" s="8" t="s">
        <v>168</v>
      </c>
      <c r="I48" s="8" t="s">
        <v>728</v>
      </c>
      <c r="J48" s="8" t="s">
        <v>729</v>
      </c>
      <c r="K48" s="8" t="s">
        <v>730</v>
      </c>
      <c r="L48" s="8" t="s">
        <v>172</v>
      </c>
      <c r="M48" s="8" t="s">
        <v>173</v>
      </c>
    </row>
    <row r="49" ht="79.2" customHeight="1" spans="1:13">
      <c r="A49">
        <v>48</v>
      </c>
      <c r="B49">
        <v>190</v>
      </c>
      <c r="C49">
        <v>191</v>
      </c>
      <c r="D49" t="s">
        <v>344</v>
      </c>
      <c r="E49">
        <v>0.114880231767893</v>
      </c>
      <c r="F49">
        <v>0.0372389531435844</v>
      </c>
      <c r="G49">
        <v>0</v>
      </c>
      <c r="H49" s="8" t="s">
        <v>168</v>
      </c>
      <c r="I49" s="8" t="s">
        <v>731</v>
      </c>
      <c r="J49" s="8" t="s">
        <v>732</v>
      </c>
      <c r="K49" s="8" t="s">
        <v>733</v>
      </c>
      <c r="L49" s="8" t="s">
        <v>172</v>
      </c>
      <c r="M49" s="8" t="s">
        <v>173</v>
      </c>
    </row>
    <row r="50" ht="79.2" customHeight="1" spans="1:13">
      <c r="A50">
        <v>49</v>
      </c>
      <c r="B50">
        <v>233</v>
      </c>
      <c r="C50">
        <v>234</v>
      </c>
      <c r="D50" t="s">
        <v>339</v>
      </c>
      <c r="E50">
        <v>0.114880228787661</v>
      </c>
      <c r="F50">
        <v>0.0372389618076044</v>
      </c>
      <c r="G50">
        <v>0</v>
      </c>
      <c r="H50" s="8" t="s">
        <v>240</v>
      </c>
      <c r="I50" s="8" t="s">
        <v>290</v>
      </c>
      <c r="J50" s="8" t="s">
        <v>734</v>
      </c>
      <c r="K50" s="8" t="s">
        <v>290</v>
      </c>
      <c r="L50" s="8" t="s">
        <v>346</v>
      </c>
      <c r="M50" s="8" t="s">
        <v>245</v>
      </c>
    </row>
    <row r="51" ht="92.4" customHeight="1" spans="1:13">
      <c r="A51">
        <v>50</v>
      </c>
      <c r="B51">
        <v>142</v>
      </c>
      <c r="C51">
        <v>143</v>
      </c>
      <c r="D51" t="s">
        <v>351</v>
      </c>
      <c r="E51">
        <v>0.113074511289597</v>
      </c>
      <c r="F51">
        <v>0.0463031468185388</v>
      </c>
      <c r="G51">
        <v>0</v>
      </c>
      <c r="H51" s="8" t="s">
        <v>168</v>
      </c>
      <c r="I51" s="8" t="s">
        <v>735</v>
      </c>
      <c r="J51" s="8" t="s">
        <v>736</v>
      </c>
      <c r="K51" s="8" t="s">
        <v>737</v>
      </c>
      <c r="L51" s="8" t="s">
        <v>172</v>
      </c>
      <c r="M51" s="8" t="s">
        <v>173</v>
      </c>
    </row>
  </sheetData>
  <conditionalFormatting sqref="H2:H51">
    <cfRule type="expression" dxfId="0" priority="1">
      <formula>LEFT(H2,9)="Confirmed"</formula>
    </cfRule>
    <cfRule type="expression" dxfId="1" priority="2">
      <formula>LEFT(H2,9)="Supported"</formula>
    </cfRule>
    <cfRule type="expression" dxfId="2" priority="3">
      <formula>LEFT(H2,6)="GATMDA"</formula>
    </cfRule>
    <cfRule type="expression" dxfId="3" priority="4">
      <formula>LEFT(H2,7)="Pending"</formula>
    </cfRule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93"/>
  <sheetViews>
    <sheetView workbookViewId="0">
      <selection activeCell="A1" sqref="A1"/>
    </sheetView>
  </sheetViews>
  <sheetFormatPr defaultColWidth="9" defaultRowHeight="16.8"/>
  <cols>
    <col min="1" max="1" width="8" customWidth="1"/>
    <col min="2" max="2" width="18" customWidth="1"/>
    <col min="3" max="3" width="12" customWidth="1"/>
    <col min="4" max="4" width="28" customWidth="1"/>
    <col min="5" max="6" width="14" customWidth="1"/>
    <col min="7" max="7" width="20" customWidth="1"/>
    <col min="8" max="8" width="34" customWidth="1"/>
    <col min="9" max="9" width="30" customWidth="1"/>
    <col min="10" max="10" width="62" customWidth="1"/>
    <col min="11" max="11" width="38" customWidth="1"/>
    <col min="12" max="12" width="34" customWidth="1"/>
    <col min="13" max="13" width="18" customWidth="1"/>
  </cols>
  <sheetData>
    <row r="1" ht="52.8" customHeight="1" spans="1:13">
      <c r="A1" s="11" t="s">
        <v>154</v>
      </c>
      <c r="B1" s="11" t="s">
        <v>155</v>
      </c>
      <c r="C1" s="11" t="s">
        <v>156</v>
      </c>
      <c r="D1" s="11" t="s">
        <v>157</v>
      </c>
      <c r="E1" s="11" t="s">
        <v>158</v>
      </c>
      <c r="F1" s="11" t="s">
        <v>159</v>
      </c>
      <c r="G1" s="11" t="s">
        <v>160</v>
      </c>
      <c r="H1" s="11" t="s">
        <v>161</v>
      </c>
      <c r="I1" s="11" t="s">
        <v>162</v>
      </c>
      <c r="J1" s="11" t="s">
        <v>163</v>
      </c>
      <c r="K1" s="11" t="s">
        <v>164</v>
      </c>
      <c r="L1" s="11" t="s">
        <v>165</v>
      </c>
      <c r="M1" s="11" t="s">
        <v>166</v>
      </c>
    </row>
    <row r="2" ht="105.6" customHeight="1" spans="1:13">
      <c r="A2">
        <v>1</v>
      </c>
      <c r="B2">
        <v>108</v>
      </c>
      <c r="C2">
        <v>109</v>
      </c>
      <c r="D2" t="s">
        <v>167</v>
      </c>
      <c r="E2">
        <v>0.64931703209877</v>
      </c>
      <c r="F2">
        <v>0.0638182685020988</v>
      </c>
      <c r="G2">
        <v>0</v>
      </c>
      <c r="H2" s="8" t="s">
        <v>168</v>
      </c>
      <c r="I2" s="8" t="s">
        <v>602</v>
      </c>
      <c r="J2" s="8" t="s">
        <v>603</v>
      </c>
      <c r="K2" s="8" t="s">
        <v>604</v>
      </c>
      <c r="L2" s="8" t="s">
        <v>172</v>
      </c>
      <c r="M2" s="8" t="s">
        <v>173</v>
      </c>
    </row>
    <row r="3" ht="105.6" customHeight="1" spans="1:13">
      <c r="A3">
        <v>2</v>
      </c>
      <c r="B3">
        <v>106</v>
      </c>
      <c r="C3">
        <v>107</v>
      </c>
      <c r="D3" t="s">
        <v>178</v>
      </c>
      <c r="E3">
        <v>0.631730955839157</v>
      </c>
      <c r="F3">
        <v>0.0589704829593829</v>
      </c>
      <c r="G3">
        <v>0</v>
      </c>
      <c r="H3" s="8" t="s">
        <v>168</v>
      </c>
      <c r="I3" s="8" t="s">
        <v>605</v>
      </c>
      <c r="J3" s="8" t="s">
        <v>606</v>
      </c>
      <c r="K3" s="8" t="s">
        <v>607</v>
      </c>
      <c r="L3" s="8" t="s">
        <v>608</v>
      </c>
      <c r="M3" s="8" t="s">
        <v>173</v>
      </c>
    </row>
    <row r="4" ht="105.6" customHeight="1" spans="1:13">
      <c r="A4">
        <v>3</v>
      </c>
      <c r="B4">
        <v>60</v>
      </c>
      <c r="C4">
        <v>61</v>
      </c>
      <c r="D4" t="s">
        <v>190</v>
      </c>
      <c r="E4">
        <v>0.612934160232544</v>
      </c>
      <c r="F4">
        <v>0.0573580291510146</v>
      </c>
      <c r="G4">
        <v>0</v>
      </c>
      <c r="H4" s="8" t="s">
        <v>168</v>
      </c>
      <c r="I4" s="8" t="s">
        <v>609</v>
      </c>
      <c r="J4" s="8" t="s">
        <v>610</v>
      </c>
      <c r="K4" s="8" t="s">
        <v>611</v>
      </c>
      <c r="L4" s="8" t="s">
        <v>172</v>
      </c>
      <c r="M4" s="8" t="s">
        <v>173</v>
      </c>
    </row>
    <row r="5" ht="105.6" customHeight="1" spans="1:13">
      <c r="A5">
        <v>4</v>
      </c>
      <c r="B5">
        <v>4</v>
      </c>
      <c r="C5">
        <v>5</v>
      </c>
      <c r="D5" t="s">
        <v>174</v>
      </c>
      <c r="E5">
        <v>0.585162448883057</v>
      </c>
      <c r="F5">
        <v>0.0658911596383596</v>
      </c>
      <c r="G5">
        <v>1</v>
      </c>
      <c r="H5" s="8" t="s">
        <v>168</v>
      </c>
      <c r="I5" s="8" t="s">
        <v>609</v>
      </c>
      <c r="J5" s="8" t="s">
        <v>612</v>
      </c>
      <c r="K5" s="8" t="s">
        <v>611</v>
      </c>
      <c r="L5" s="8" t="s">
        <v>172</v>
      </c>
      <c r="M5" s="8" t="s">
        <v>173</v>
      </c>
    </row>
    <row r="6" ht="145.2" customHeight="1" spans="1:13">
      <c r="A6">
        <v>5</v>
      </c>
      <c r="B6">
        <v>93</v>
      </c>
      <c r="C6">
        <v>94</v>
      </c>
      <c r="D6" t="s">
        <v>204</v>
      </c>
      <c r="E6">
        <v>0.52971970140934</v>
      </c>
      <c r="F6">
        <v>0.0466646973879963</v>
      </c>
      <c r="G6">
        <v>0</v>
      </c>
      <c r="H6" s="8" t="s">
        <v>168</v>
      </c>
      <c r="I6" s="8" t="s">
        <v>613</v>
      </c>
      <c r="J6" s="8" t="s">
        <v>614</v>
      </c>
      <c r="K6" s="8" t="s">
        <v>615</v>
      </c>
      <c r="L6" s="8" t="s">
        <v>172</v>
      </c>
      <c r="M6" s="8" t="s">
        <v>173</v>
      </c>
    </row>
    <row r="7" ht="158.4" customHeight="1" spans="1:13">
      <c r="A7">
        <v>6</v>
      </c>
      <c r="B7">
        <v>154</v>
      </c>
      <c r="C7">
        <v>155</v>
      </c>
      <c r="D7" t="s">
        <v>182</v>
      </c>
      <c r="E7">
        <v>0.50680436193943</v>
      </c>
      <c r="F7">
        <v>0.112484171148775</v>
      </c>
      <c r="G7">
        <v>0</v>
      </c>
      <c r="H7" s="8" t="s">
        <v>168</v>
      </c>
      <c r="I7" s="8" t="s">
        <v>616</v>
      </c>
      <c r="J7" s="8" t="s">
        <v>617</v>
      </c>
      <c r="K7" s="8" t="s">
        <v>611</v>
      </c>
      <c r="L7" s="8" t="s">
        <v>608</v>
      </c>
      <c r="M7" s="8" t="s">
        <v>173</v>
      </c>
    </row>
    <row r="8" ht="92.4" customHeight="1" spans="1:13">
      <c r="A8">
        <v>7</v>
      </c>
      <c r="B8">
        <v>230</v>
      </c>
      <c r="C8">
        <v>231</v>
      </c>
      <c r="D8" t="s">
        <v>186</v>
      </c>
      <c r="E8">
        <v>0.493747213482857</v>
      </c>
      <c r="F8">
        <v>0.118879461884679</v>
      </c>
      <c r="G8">
        <v>1</v>
      </c>
      <c r="H8" s="8" t="s">
        <v>168</v>
      </c>
      <c r="I8" s="8" t="s">
        <v>609</v>
      </c>
      <c r="J8" s="8" t="s">
        <v>618</v>
      </c>
      <c r="K8" s="8" t="s">
        <v>611</v>
      </c>
      <c r="L8" s="8" t="s">
        <v>172</v>
      </c>
      <c r="M8" s="8" t="s">
        <v>173</v>
      </c>
    </row>
    <row r="9" ht="92.4" customHeight="1" spans="1:13">
      <c r="A9">
        <v>8</v>
      </c>
      <c r="B9">
        <v>224</v>
      </c>
      <c r="C9">
        <v>225</v>
      </c>
      <c r="D9" t="s">
        <v>192</v>
      </c>
      <c r="E9">
        <v>0.471123945713043</v>
      </c>
      <c r="F9">
        <v>0.112084292905626</v>
      </c>
      <c r="G9">
        <v>0</v>
      </c>
      <c r="H9" s="8" t="s">
        <v>168</v>
      </c>
      <c r="I9" s="8" t="s">
        <v>619</v>
      </c>
      <c r="J9" s="8" t="s">
        <v>620</v>
      </c>
      <c r="K9" s="8" t="s">
        <v>621</v>
      </c>
      <c r="L9" s="8" t="s">
        <v>608</v>
      </c>
      <c r="M9" s="8" t="s">
        <v>173</v>
      </c>
    </row>
    <row r="10" ht="132" customHeight="1" spans="1:13">
      <c r="A10">
        <v>9</v>
      </c>
      <c r="B10">
        <v>168</v>
      </c>
      <c r="C10">
        <v>169</v>
      </c>
      <c r="D10" t="s">
        <v>196</v>
      </c>
      <c r="E10">
        <v>0.46937894821167</v>
      </c>
      <c r="F10">
        <v>0.114074091914699</v>
      </c>
      <c r="G10">
        <v>0</v>
      </c>
      <c r="H10" s="8" t="s">
        <v>168</v>
      </c>
      <c r="I10" s="8" t="s">
        <v>622</v>
      </c>
      <c r="J10" s="8" t="s">
        <v>623</v>
      </c>
      <c r="K10" s="8" t="s">
        <v>624</v>
      </c>
      <c r="L10" s="8" t="s">
        <v>608</v>
      </c>
      <c r="M10" s="8" t="s">
        <v>173</v>
      </c>
    </row>
    <row r="11" ht="92.4" customHeight="1" spans="1:13">
      <c r="A11">
        <v>10</v>
      </c>
      <c r="B11">
        <v>110</v>
      </c>
      <c r="C11">
        <v>111</v>
      </c>
      <c r="D11" t="s">
        <v>216</v>
      </c>
      <c r="E11">
        <v>0.465246787667275</v>
      </c>
      <c r="F11">
        <v>0.0776427309401238</v>
      </c>
      <c r="G11">
        <v>0</v>
      </c>
      <c r="H11" s="8" t="s">
        <v>168</v>
      </c>
      <c r="I11" s="8" t="s">
        <v>625</v>
      </c>
      <c r="J11" s="8" t="s">
        <v>626</v>
      </c>
      <c r="K11" s="8" t="s">
        <v>607</v>
      </c>
      <c r="L11" s="8" t="s">
        <v>608</v>
      </c>
      <c r="M11" s="8" t="s">
        <v>173</v>
      </c>
    </row>
    <row r="12" ht="105.6" customHeight="1" spans="1:13">
      <c r="A12">
        <v>11</v>
      </c>
      <c r="B12">
        <v>255</v>
      </c>
      <c r="C12">
        <v>256</v>
      </c>
      <c r="D12" t="s">
        <v>200</v>
      </c>
      <c r="E12">
        <v>0.420972087979317</v>
      </c>
      <c r="F12">
        <v>0.116618423344872</v>
      </c>
      <c r="G12">
        <v>0</v>
      </c>
      <c r="H12" s="8" t="s">
        <v>168</v>
      </c>
      <c r="I12" s="8" t="s">
        <v>627</v>
      </c>
      <c r="J12" s="8" t="s">
        <v>628</v>
      </c>
      <c r="K12" s="8" t="s">
        <v>629</v>
      </c>
      <c r="L12" s="8" t="s">
        <v>172</v>
      </c>
      <c r="M12" s="8" t="s">
        <v>173</v>
      </c>
    </row>
    <row r="13" ht="145.2" customHeight="1" spans="1:13">
      <c r="A13">
        <v>12</v>
      </c>
      <c r="B13">
        <v>68</v>
      </c>
      <c r="C13">
        <v>69</v>
      </c>
      <c r="D13" t="s">
        <v>228</v>
      </c>
      <c r="E13">
        <v>0.39792757332325</v>
      </c>
      <c r="F13">
        <v>0.09385867879978</v>
      </c>
      <c r="G13">
        <v>0</v>
      </c>
      <c r="H13" s="8" t="s">
        <v>168</v>
      </c>
      <c r="I13" s="8" t="s">
        <v>630</v>
      </c>
      <c r="J13" s="8" t="s">
        <v>631</v>
      </c>
      <c r="K13" s="8" t="s">
        <v>632</v>
      </c>
      <c r="L13" s="8" t="s">
        <v>172</v>
      </c>
      <c r="M13" s="8" t="s">
        <v>173</v>
      </c>
    </row>
    <row r="14" ht="118.8" customHeight="1" spans="1:13">
      <c r="A14">
        <v>13</v>
      </c>
      <c r="B14">
        <v>254</v>
      </c>
      <c r="C14">
        <v>255</v>
      </c>
      <c r="D14" t="s">
        <v>224</v>
      </c>
      <c r="E14">
        <v>0.394535884261131</v>
      </c>
      <c r="F14">
        <v>0.110674024900259</v>
      </c>
      <c r="G14">
        <v>0</v>
      </c>
      <c r="H14" s="8" t="s">
        <v>168</v>
      </c>
      <c r="I14" s="8" t="s">
        <v>633</v>
      </c>
      <c r="J14" s="8" t="s">
        <v>634</v>
      </c>
      <c r="K14" s="8" t="s">
        <v>632</v>
      </c>
      <c r="L14" s="8" t="s">
        <v>608</v>
      </c>
      <c r="M14" s="8" t="s">
        <v>173</v>
      </c>
    </row>
    <row r="15" ht="92.4" customHeight="1" spans="1:13">
      <c r="A15">
        <v>14</v>
      </c>
      <c r="B15">
        <v>260</v>
      </c>
      <c r="C15">
        <v>261</v>
      </c>
      <c r="D15" t="s">
        <v>220</v>
      </c>
      <c r="E15">
        <v>0.38502556681633</v>
      </c>
      <c r="F15">
        <v>0.0624925328682619</v>
      </c>
      <c r="G15">
        <v>0</v>
      </c>
      <c r="H15" s="8" t="s">
        <v>168</v>
      </c>
      <c r="I15" s="8" t="s">
        <v>635</v>
      </c>
      <c r="J15" s="8" t="s">
        <v>636</v>
      </c>
      <c r="K15" s="8" t="s">
        <v>637</v>
      </c>
      <c r="L15" s="8" t="s">
        <v>608</v>
      </c>
      <c r="M15" s="8" t="s">
        <v>173</v>
      </c>
    </row>
    <row r="16" ht="158.4" customHeight="1" spans="1:13">
      <c r="A16">
        <v>15</v>
      </c>
      <c r="B16">
        <v>257</v>
      </c>
      <c r="C16">
        <v>258</v>
      </c>
      <c r="D16" t="s">
        <v>250</v>
      </c>
      <c r="E16">
        <v>0.37315274477005</v>
      </c>
      <c r="F16">
        <v>0.109584625499563</v>
      </c>
      <c r="G16">
        <v>0</v>
      </c>
      <c r="H16" s="8" t="s">
        <v>229</v>
      </c>
      <c r="I16" s="8" t="s">
        <v>638</v>
      </c>
      <c r="J16" s="8" t="s">
        <v>639</v>
      </c>
      <c r="K16" s="8" t="s">
        <v>640</v>
      </c>
      <c r="L16" s="8" t="s">
        <v>641</v>
      </c>
      <c r="M16" s="8" t="s">
        <v>234</v>
      </c>
    </row>
    <row r="17" ht="171.6" customHeight="1" spans="1:13">
      <c r="A17">
        <v>16</v>
      </c>
      <c r="B17">
        <v>105</v>
      </c>
      <c r="C17">
        <v>106</v>
      </c>
      <c r="D17" t="s">
        <v>246</v>
      </c>
      <c r="E17">
        <v>0.37021466344595</v>
      </c>
      <c r="F17">
        <v>0.115024773404203</v>
      </c>
      <c r="G17">
        <v>0</v>
      </c>
      <c r="H17" s="8" t="s">
        <v>229</v>
      </c>
      <c r="I17" s="8" t="s">
        <v>642</v>
      </c>
      <c r="J17" s="8" t="s">
        <v>643</v>
      </c>
      <c r="K17" s="8" t="s">
        <v>607</v>
      </c>
      <c r="L17" s="8" t="s">
        <v>644</v>
      </c>
      <c r="M17" s="8" t="s">
        <v>234</v>
      </c>
    </row>
    <row r="18" ht="118.8" customHeight="1" spans="1:13">
      <c r="A18">
        <v>17</v>
      </c>
      <c r="B18">
        <v>183</v>
      </c>
      <c r="C18">
        <v>184</v>
      </c>
      <c r="D18" t="s">
        <v>210</v>
      </c>
      <c r="E18">
        <v>0.352891467511654</v>
      </c>
      <c r="F18">
        <v>0.105585827079769</v>
      </c>
      <c r="G18">
        <v>0</v>
      </c>
      <c r="H18" s="8" t="s">
        <v>168</v>
      </c>
      <c r="I18" s="8" t="s">
        <v>645</v>
      </c>
      <c r="J18" s="8" t="s">
        <v>646</v>
      </c>
      <c r="K18" s="8" t="s">
        <v>637</v>
      </c>
      <c r="L18" s="8" t="s">
        <v>608</v>
      </c>
      <c r="M18" s="8" t="s">
        <v>173</v>
      </c>
    </row>
    <row r="19" ht="118.8" customHeight="1" spans="1:13">
      <c r="A19">
        <v>18</v>
      </c>
      <c r="B19">
        <v>165</v>
      </c>
      <c r="C19">
        <v>166</v>
      </c>
      <c r="D19" t="s">
        <v>237</v>
      </c>
      <c r="E19">
        <v>0.351856678724289</v>
      </c>
      <c r="F19">
        <v>0.10257792100667</v>
      </c>
      <c r="G19">
        <v>0</v>
      </c>
      <c r="H19" s="8" t="s">
        <v>168</v>
      </c>
      <c r="I19" s="8" t="s">
        <v>647</v>
      </c>
      <c r="J19" s="8" t="s">
        <v>648</v>
      </c>
      <c r="K19" s="8" t="s">
        <v>649</v>
      </c>
      <c r="L19" s="8" t="s">
        <v>172</v>
      </c>
      <c r="M19" s="8" t="s">
        <v>173</v>
      </c>
    </row>
    <row r="20" ht="105.6" customHeight="1" spans="1:13">
      <c r="A20">
        <v>19</v>
      </c>
      <c r="B20">
        <v>136</v>
      </c>
      <c r="C20">
        <v>137</v>
      </c>
      <c r="D20" t="s">
        <v>214</v>
      </c>
      <c r="E20">
        <v>0.328816699981689</v>
      </c>
      <c r="F20">
        <v>0.100721247332897</v>
      </c>
      <c r="G20">
        <v>0</v>
      </c>
      <c r="H20" s="8" t="s">
        <v>168</v>
      </c>
      <c r="I20" s="8" t="s">
        <v>650</v>
      </c>
      <c r="J20" s="8" t="s">
        <v>651</v>
      </c>
      <c r="K20" s="8" t="s">
        <v>637</v>
      </c>
      <c r="L20" s="8" t="s">
        <v>608</v>
      </c>
      <c r="M20" s="8" t="s">
        <v>173</v>
      </c>
    </row>
    <row r="21" ht="105.6" customHeight="1" spans="1:13">
      <c r="A21">
        <v>20</v>
      </c>
      <c r="B21">
        <v>281</v>
      </c>
      <c r="C21">
        <v>282</v>
      </c>
      <c r="D21" t="s">
        <v>255</v>
      </c>
      <c r="E21">
        <v>0.300571468472481</v>
      </c>
      <c r="F21">
        <v>0.0859611903463492</v>
      </c>
      <c r="G21">
        <v>0</v>
      </c>
      <c r="H21" s="8" t="s">
        <v>168</v>
      </c>
      <c r="I21" s="8" t="s">
        <v>652</v>
      </c>
      <c r="J21" s="8" t="s">
        <v>653</v>
      </c>
      <c r="K21" s="8" t="s">
        <v>649</v>
      </c>
      <c r="L21" s="8" t="s">
        <v>608</v>
      </c>
      <c r="M21" s="8" t="s">
        <v>173</v>
      </c>
    </row>
    <row r="22" ht="171.6" customHeight="1" spans="1:13">
      <c r="A22">
        <v>21</v>
      </c>
      <c r="B22">
        <v>100</v>
      </c>
      <c r="C22">
        <v>101</v>
      </c>
      <c r="D22" t="s">
        <v>263</v>
      </c>
      <c r="E22">
        <v>0.293320520222187</v>
      </c>
      <c r="F22">
        <v>0.104680034196833</v>
      </c>
      <c r="G22">
        <v>0</v>
      </c>
      <c r="H22" s="8" t="s">
        <v>168</v>
      </c>
      <c r="I22" s="8" t="s">
        <v>654</v>
      </c>
      <c r="J22" s="8" t="s">
        <v>655</v>
      </c>
      <c r="K22" s="8" t="s">
        <v>656</v>
      </c>
      <c r="L22" s="8" t="s">
        <v>172</v>
      </c>
      <c r="M22" s="8" t="s">
        <v>173</v>
      </c>
    </row>
    <row r="23" ht="92.4" customHeight="1" spans="1:13">
      <c r="A23">
        <v>22</v>
      </c>
      <c r="B23">
        <v>137</v>
      </c>
      <c r="C23">
        <v>138</v>
      </c>
      <c r="D23" t="s">
        <v>235</v>
      </c>
      <c r="E23">
        <v>0.277091732621193</v>
      </c>
      <c r="F23">
        <v>0.0903541172152099</v>
      </c>
      <c r="G23">
        <v>0</v>
      </c>
      <c r="H23" s="8" t="s">
        <v>168</v>
      </c>
      <c r="I23" s="8" t="s">
        <v>650</v>
      </c>
      <c r="J23" s="8" t="s">
        <v>657</v>
      </c>
      <c r="K23" s="8" t="s">
        <v>637</v>
      </c>
      <c r="L23" s="8" t="s">
        <v>608</v>
      </c>
      <c r="M23" s="8" t="s">
        <v>173</v>
      </c>
    </row>
    <row r="24" ht="105.6" customHeight="1" spans="1:13">
      <c r="A24">
        <v>23</v>
      </c>
      <c r="B24">
        <v>181</v>
      </c>
      <c r="C24">
        <v>182</v>
      </c>
      <c r="D24" t="s">
        <v>208</v>
      </c>
      <c r="E24">
        <v>0.255977545678616</v>
      </c>
      <c r="F24">
        <v>0.0825579402789273</v>
      </c>
      <c r="G24">
        <v>1</v>
      </c>
      <c r="H24" s="8" t="s">
        <v>168</v>
      </c>
      <c r="I24" s="8" t="s">
        <v>658</v>
      </c>
      <c r="J24" s="8" t="s">
        <v>659</v>
      </c>
      <c r="K24" s="8" t="s">
        <v>660</v>
      </c>
      <c r="L24" s="8" t="s">
        <v>172</v>
      </c>
      <c r="M24" s="8" t="s">
        <v>173</v>
      </c>
    </row>
    <row r="25" ht="105.6" customHeight="1" spans="1:13">
      <c r="A25">
        <v>24</v>
      </c>
      <c r="B25">
        <v>145</v>
      </c>
      <c r="C25">
        <v>146</v>
      </c>
      <c r="D25" t="s">
        <v>239</v>
      </c>
      <c r="E25">
        <v>0.253587801754475</v>
      </c>
      <c r="F25">
        <v>0.0709513060068349</v>
      </c>
      <c r="G25">
        <v>0</v>
      </c>
      <c r="H25" s="8" t="s">
        <v>168</v>
      </c>
      <c r="I25" s="8" t="s">
        <v>661</v>
      </c>
      <c r="J25" s="8" t="s">
        <v>662</v>
      </c>
      <c r="K25" s="8" t="s">
        <v>663</v>
      </c>
      <c r="L25" s="8" t="s">
        <v>608</v>
      </c>
      <c r="M25" s="8" t="s">
        <v>173</v>
      </c>
    </row>
    <row r="26" ht="145.2" customHeight="1" spans="1:13">
      <c r="A26">
        <v>25</v>
      </c>
      <c r="B26">
        <v>115</v>
      </c>
      <c r="C26">
        <v>116</v>
      </c>
      <c r="D26" t="s">
        <v>418</v>
      </c>
      <c r="E26">
        <v>0.229655042290688</v>
      </c>
      <c r="F26">
        <v>0.0604509310052409</v>
      </c>
      <c r="G26">
        <v>0</v>
      </c>
      <c r="H26" s="8" t="s">
        <v>168</v>
      </c>
      <c r="I26" s="8" t="s">
        <v>664</v>
      </c>
      <c r="J26" s="8" t="s">
        <v>665</v>
      </c>
      <c r="K26" s="8" t="s">
        <v>666</v>
      </c>
      <c r="L26" s="8" t="s">
        <v>172</v>
      </c>
      <c r="M26" s="8" t="s">
        <v>173</v>
      </c>
    </row>
    <row r="27" ht="92.4" customHeight="1" spans="1:13">
      <c r="A27">
        <v>26</v>
      </c>
      <c r="B27">
        <v>118</v>
      </c>
      <c r="C27">
        <v>119</v>
      </c>
      <c r="D27" t="s">
        <v>300</v>
      </c>
      <c r="E27">
        <v>0.227949281036854</v>
      </c>
      <c r="F27">
        <v>0.0516878610566616</v>
      </c>
      <c r="G27">
        <v>0</v>
      </c>
      <c r="H27" s="8" t="s">
        <v>168</v>
      </c>
      <c r="I27" s="8" t="s">
        <v>667</v>
      </c>
      <c r="J27" s="8" t="s">
        <v>668</v>
      </c>
      <c r="K27" s="8" t="s">
        <v>669</v>
      </c>
      <c r="L27" s="8" t="s">
        <v>172</v>
      </c>
      <c r="M27" s="8" t="s">
        <v>173</v>
      </c>
    </row>
    <row r="28" ht="158.4" customHeight="1" spans="1:13">
      <c r="A28">
        <v>27</v>
      </c>
      <c r="B28">
        <v>59</v>
      </c>
      <c r="C28">
        <v>60</v>
      </c>
      <c r="D28" t="s">
        <v>268</v>
      </c>
      <c r="E28">
        <v>0.225016239285469</v>
      </c>
      <c r="F28">
        <v>0.0492270670142161</v>
      </c>
      <c r="G28">
        <v>0</v>
      </c>
      <c r="H28" s="8" t="s">
        <v>168</v>
      </c>
      <c r="I28" s="8" t="s">
        <v>670</v>
      </c>
      <c r="J28" s="8" t="s">
        <v>671</v>
      </c>
      <c r="K28" s="8" t="s">
        <v>672</v>
      </c>
      <c r="L28" s="8" t="s">
        <v>172</v>
      </c>
      <c r="M28" s="8" t="s">
        <v>173</v>
      </c>
    </row>
    <row r="29" ht="92.4" customHeight="1" spans="1:13">
      <c r="A29">
        <v>28</v>
      </c>
      <c r="B29">
        <v>119</v>
      </c>
      <c r="C29">
        <v>120</v>
      </c>
      <c r="D29" t="s">
        <v>308</v>
      </c>
      <c r="E29">
        <v>0.218102358281612</v>
      </c>
      <c r="F29">
        <v>0.049020355060112</v>
      </c>
      <c r="G29">
        <v>0</v>
      </c>
      <c r="H29" s="8" t="s">
        <v>168</v>
      </c>
      <c r="I29" s="8" t="s">
        <v>673</v>
      </c>
      <c r="J29" s="8" t="s">
        <v>674</v>
      </c>
      <c r="K29" s="8" t="s">
        <v>675</v>
      </c>
      <c r="L29" s="8" t="s">
        <v>172</v>
      </c>
      <c r="M29" s="8" t="s">
        <v>173</v>
      </c>
    </row>
    <row r="30" ht="92.4" customHeight="1" spans="1:13">
      <c r="A30">
        <v>29</v>
      </c>
      <c r="B30">
        <v>2</v>
      </c>
      <c r="C30">
        <v>3</v>
      </c>
      <c r="D30" t="s">
        <v>273</v>
      </c>
      <c r="E30">
        <v>0.215033157169819</v>
      </c>
      <c r="F30">
        <v>0.0544745994785606</v>
      </c>
      <c r="G30">
        <v>0</v>
      </c>
      <c r="H30" s="8" t="s">
        <v>168</v>
      </c>
      <c r="I30" s="8" t="s">
        <v>676</v>
      </c>
      <c r="J30" s="8" t="s">
        <v>677</v>
      </c>
      <c r="K30" s="8" t="s">
        <v>678</v>
      </c>
      <c r="L30" s="8" t="s">
        <v>172</v>
      </c>
      <c r="M30" s="8" t="s">
        <v>173</v>
      </c>
    </row>
    <row r="31" ht="79.2" customHeight="1" spans="1:13">
      <c r="A31">
        <v>30</v>
      </c>
      <c r="B31">
        <v>120</v>
      </c>
      <c r="C31">
        <v>121</v>
      </c>
      <c r="D31" t="s">
        <v>361</v>
      </c>
      <c r="E31">
        <v>0.191136135160923</v>
      </c>
      <c r="F31">
        <v>0.045546413119711</v>
      </c>
      <c r="G31">
        <v>0</v>
      </c>
      <c r="H31" s="8" t="s">
        <v>240</v>
      </c>
      <c r="I31" s="8" t="s">
        <v>290</v>
      </c>
      <c r="J31" s="8" t="s">
        <v>679</v>
      </c>
      <c r="K31" s="8" t="s">
        <v>290</v>
      </c>
      <c r="L31" s="8" t="s">
        <v>346</v>
      </c>
      <c r="M31" s="8" t="s">
        <v>245</v>
      </c>
    </row>
    <row r="32" ht="145.2" customHeight="1" spans="1:13">
      <c r="A32">
        <v>31</v>
      </c>
      <c r="B32">
        <v>5</v>
      </c>
      <c r="C32">
        <v>6</v>
      </c>
      <c r="D32" t="s">
        <v>314</v>
      </c>
      <c r="E32">
        <v>0.187738567590714</v>
      </c>
      <c r="F32">
        <v>0.0656295905030473</v>
      </c>
      <c r="G32">
        <v>0</v>
      </c>
      <c r="H32" s="8" t="s">
        <v>168</v>
      </c>
      <c r="I32" s="8" t="s">
        <v>680</v>
      </c>
      <c r="J32" s="8" t="s">
        <v>681</v>
      </c>
      <c r="K32" s="8" t="s">
        <v>682</v>
      </c>
      <c r="L32" s="8" t="s">
        <v>172</v>
      </c>
      <c r="M32" s="8" t="s">
        <v>173</v>
      </c>
    </row>
    <row r="33" ht="145.2" customHeight="1" spans="1:13">
      <c r="A33">
        <v>32</v>
      </c>
      <c r="B33">
        <v>159</v>
      </c>
      <c r="C33">
        <v>160</v>
      </c>
      <c r="D33" t="s">
        <v>259</v>
      </c>
      <c r="E33">
        <v>0.178509101271629</v>
      </c>
      <c r="F33">
        <v>0.0575578664487023</v>
      </c>
      <c r="G33">
        <v>0</v>
      </c>
      <c r="H33" s="8" t="s">
        <v>168</v>
      </c>
      <c r="I33" s="8" t="s">
        <v>683</v>
      </c>
      <c r="J33" s="8" t="s">
        <v>684</v>
      </c>
      <c r="K33" s="8" t="s">
        <v>685</v>
      </c>
      <c r="L33" s="8" t="s">
        <v>608</v>
      </c>
      <c r="M33" s="8" t="s">
        <v>173</v>
      </c>
    </row>
    <row r="34" ht="105.6" customHeight="1" spans="1:13">
      <c r="A34">
        <v>33</v>
      </c>
      <c r="B34">
        <v>114</v>
      </c>
      <c r="C34">
        <v>115</v>
      </c>
      <c r="D34" t="s">
        <v>367</v>
      </c>
      <c r="E34">
        <v>0.177182868868113</v>
      </c>
      <c r="F34">
        <v>0.0400457702199117</v>
      </c>
      <c r="G34">
        <v>0</v>
      </c>
      <c r="H34" s="8" t="s">
        <v>229</v>
      </c>
      <c r="I34" s="8" t="s">
        <v>686</v>
      </c>
      <c r="J34" s="8" t="s">
        <v>687</v>
      </c>
      <c r="K34" s="8" t="s">
        <v>688</v>
      </c>
      <c r="L34" s="8" t="s">
        <v>689</v>
      </c>
      <c r="M34" s="8" t="s">
        <v>234</v>
      </c>
    </row>
    <row r="35" ht="224.4" customHeight="1" spans="1:13">
      <c r="A35">
        <v>34</v>
      </c>
      <c r="B35">
        <v>153</v>
      </c>
      <c r="C35">
        <v>154</v>
      </c>
      <c r="D35" t="s">
        <v>276</v>
      </c>
      <c r="E35">
        <v>0.16709760427475</v>
      </c>
      <c r="F35">
        <v>0.0715297756472999</v>
      </c>
      <c r="G35">
        <v>0</v>
      </c>
      <c r="H35" s="8" t="s">
        <v>168</v>
      </c>
      <c r="I35" s="8" t="s">
        <v>690</v>
      </c>
      <c r="J35" s="8" t="s">
        <v>691</v>
      </c>
      <c r="K35" s="8" t="s">
        <v>692</v>
      </c>
      <c r="L35" s="8" t="s">
        <v>172</v>
      </c>
      <c r="M35" s="8" t="s">
        <v>173</v>
      </c>
    </row>
    <row r="36" ht="92.4" customHeight="1" spans="1:13">
      <c r="A36">
        <v>35</v>
      </c>
      <c r="B36">
        <v>62</v>
      </c>
      <c r="C36">
        <v>63</v>
      </c>
      <c r="D36" t="s">
        <v>365</v>
      </c>
      <c r="E36">
        <v>0.160254807770252</v>
      </c>
      <c r="F36">
        <v>0.0578673599077517</v>
      </c>
      <c r="G36">
        <v>0</v>
      </c>
      <c r="H36" s="8" t="s">
        <v>168</v>
      </c>
      <c r="I36" s="8" t="s">
        <v>693</v>
      </c>
      <c r="J36" s="8" t="s">
        <v>694</v>
      </c>
      <c r="K36" s="8" t="s">
        <v>637</v>
      </c>
      <c r="L36" s="8" t="s">
        <v>608</v>
      </c>
      <c r="M36" s="8" t="s">
        <v>173</v>
      </c>
    </row>
    <row r="37" ht="198" customHeight="1" spans="1:13">
      <c r="A37">
        <v>36</v>
      </c>
      <c r="B37">
        <v>161</v>
      </c>
      <c r="C37">
        <v>162</v>
      </c>
      <c r="D37" t="s">
        <v>280</v>
      </c>
      <c r="E37">
        <v>0.15023371130228</v>
      </c>
      <c r="F37">
        <v>0.054084767842873</v>
      </c>
      <c r="G37">
        <v>0</v>
      </c>
      <c r="H37" s="8" t="s">
        <v>229</v>
      </c>
      <c r="I37" s="8" t="s">
        <v>609</v>
      </c>
      <c r="J37" s="8" t="s">
        <v>695</v>
      </c>
      <c r="K37" s="8" t="s">
        <v>611</v>
      </c>
      <c r="L37" s="8" t="s">
        <v>696</v>
      </c>
      <c r="M37" s="8" t="s">
        <v>234</v>
      </c>
    </row>
    <row r="38" ht="145.2" customHeight="1" spans="1:13">
      <c r="A38">
        <v>37</v>
      </c>
      <c r="B38">
        <v>226</v>
      </c>
      <c r="C38">
        <v>227</v>
      </c>
      <c r="D38" t="s">
        <v>304</v>
      </c>
      <c r="E38">
        <v>0.13810328617692</v>
      </c>
      <c r="F38">
        <v>0.0597896131097697</v>
      </c>
      <c r="G38">
        <v>0</v>
      </c>
      <c r="H38" s="8" t="s">
        <v>229</v>
      </c>
      <c r="I38" s="8" t="s">
        <v>697</v>
      </c>
      <c r="J38" s="8" t="s">
        <v>698</v>
      </c>
      <c r="K38" s="8" t="s">
        <v>699</v>
      </c>
      <c r="L38" s="8" t="s">
        <v>700</v>
      </c>
      <c r="M38" s="8" t="s">
        <v>234</v>
      </c>
    </row>
    <row r="39" ht="105.6" customHeight="1" spans="1:13">
      <c r="A39">
        <v>38</v>
      </c>
      <c r="B39">
        <v>262</v>
      </c>
      <c r="C39">
        <v>263</v>
      </c>
      <c r="D39" t="s">
        <v>368</v>
      </c>
      <c r="E39">
        <v>0.137106610089541</v>
      </c>
      <c r="F39">
        <v>0.0504817128319552</v>
      </c>
      <c r="G39">
        <v>0</v>
      </c>
      <c r="H39" s="8" t="s">
        <v>168</v>
      </c>
      <c r="I39" s="8" t="s">
        <v>701</v>
      </c>
      <c r="J39" s="8" t="s">
        <v>702</v>
      </c>
      <c r="K39" s="8" t="s">
        <v>703</v>
      </c>
      <c r="L39" s="8" t="s">
        <v>172</v>
      </c>
      <c r="M39" s="8" t="s">
        <v>173</v>
      </c>
    </row>
    <row r="40" ht="118.8" customHeight="1" spans="1:13">
      <c r="A40">
        <v>39</v>
      </c>
      <c r="B40">
        <v>250</v>
      </c>
      <c r="C40">
        <v>251</v>
      </c>
      <c r="D40" t="s">
        <v>289</v>
      </c>
      <c r="E40">
        <v>0.133045118302107</v>
      </c>
      <c r="F40">
        <v>0.043353917266246</v>
      </c>
      <c r="G40">
        <v>0</v>
      </c>
      <c r="H40" s="8" t="s">
        <v>240</v>
      </c>
      <c r="I40" s="8" t="s">
        <v>290</v>
      </c>
      <c r="J40" s="8" t="s">
        <v>704</v>
      </c>
      <c r="K40" s="8" t="s">
        <v>290</v>
      </c>
      <c r="L40" s="8" t="s">
        <v>705</v>
      </c>
      <c r="M40" s="8" t="s">
        <v>245</v>
      </c>
    </row>
    <row r="41" ht="145.2" customHeight="1" spans="1:13">
      <c r="A41">
        <v>40</v>
      </c>
      <c r="B41">
        <v>178</v>
      </c>
      <c r="C41">
        <v>179</v>
      </c>
      <c r="D41" t="s">
        <v>284</v>
      </c>
      <c r="E41">
        <v>0.133045113831758</v>
      </c>
      <c r="F41">
        <v>0.0433538985718306</v>
      </c>
      <c r="G41">
        <v>0</v>
      </c>
      <c r="H41" s="8" t="s">
        <v>168</v>
      </c>
      <c r="I41" s="8" t="s">
        <v>706</v>
      </c>
      <c r="J41" s="8" t="s">
        <v>707</v>
      </c>
      <c r="K41" s="8" t="s">
        <v>708</v>
      </c>
      <c r="L41" s="8" t="s">
        <v>709</v>
      </c>
      <c r="M41" s="8" t="s">
        <v>173</v>
      </c>
    </row>
    <row r="42" ht="132" customHeight="1" spans="1:13">
      <c r="A42">
        <v>41</v>
      </c>
      <c r="B42">
        <v>135</v>
      </c>
      <c r="C42">
        <v>136</v>
      </c>
      <c r="D42" t="s">
        <v>298</v>
      </c>
      <c r="E42">
        <v>0.133045111596584</v>
      </c>
      <c r="F42">
        <v>0.0433539010455694</v>
      </c>
      <c r="G42">
        <v>0</v>
      </c>
      <c r="H42" s="8" t="s">
        <v>229</v>
      </c>
      <c r="I42" s="8" t="s">
        <v>710</v>
      </c>
      <c r="J42" s="8" t="s">
        <v>711</v>
      </c>
      <c r="K42" s="8" t="s">
        <v>712</v>
      </c>
      <c r="L42" s="8" t="s">
        <v>713</v>
      </c>
      <c r="M42" s="8" t="s">
        <v>234</v>
      </c>
    </row>
    <row r="43" ht="171.6" customHeight="1" spans="1:13">
      <c r="A43">
        <v>42</v>
      </c>
      <c r="B43">
        <v>134</v>
      </c>
      <c r="C43">
        <v>135</v>
      </c>
      <c r="D43" t="s">
        <v>293</v>
      </c>
      <c r="E43">
        <v>0.133045111596584</v>
      </c>
      <c r="F43">
        <v>0.0433539010455694</v>
      </c>
      <c r="G43">
        <v>0</v>
      </c>
      <c r="H43" s="8" t="s">
        <v>240</v>
      </c>
      <c r="I43" s="8" t="s">
        <v>714</v>
      </c>
      <c r="J43" s="8" t="s">
        <v>715</v>
      </c>
      <c r="K43" s="8" t="s">
        <v>716</v>
      </c>
      <c r="L43" s="8" t="s">
        <v>717</v>
      </c>
      <c r="M43" s="8" t="s">
        <v>245</v>
      </c>
    </row>
    <row r="44" ht="171.6" customHeight="1" spans="1:13">
      <c r="A44">
        <v>43</v>
      </c>
      <c r="B44">
        <v>177</v>
      </c>
      <c r="C44">
        <v>178</v>
      </c>
      <c r="D44" t="s">
        <v>312</v>
      </c>
      <c r="E44">
        <v>0.126529571413994</v>
      </c>
      <c r="F44">
        <v>0.0578162591757091</v>
      </c>
      <c r="G44">
        <v>0</v>
      </c>
      <c r="H44" s="8" t="s">
        <v>229</v>
      </c>
      <c r="I44" s="8" t="s">
        <v>706</v>
      </c>
      <c r="J44" s="8" t="s">
        <v>718</v>
      </c>
      <c r="K44" s="8" t="s">
        <v>708</v>
      </c>
      <c r="L44" s="8" t="s">
        <v>719</v>
      </c>
      <c r="M44" s="8" t="s">
        <v>234</v>
      </c>
    </row>
    <row r="45" ht="118.8" customHeight="1" spans="1:13">
      <c r="A45">
        <v>44</v>
      </c>
      <c r="B45">
        <v>139</v>
      </c>
      <c r="C45">
        <v>140</v>
      </c>
      <c r="D45" t="s">
        <v>316</v>
      </c>
      <c r="E45">
        <v>0.119835791736841</v>
      </c>
      <c r="F45">
        <v>0.03325711058861</v>
      </c>
      <c r="G45">
        <v>0</v>
      </c>
      <c r="H45" s="8" t="s">
        <v>168</v>
      </c>
      <c r="I45" s="8" t="s">
        <v>720</v>
      </c>
      <c r="J45" s="8" t="s">
        <v>721</v>
      </c>
      <c r="K45" s="8" t="s">
        <v>722</v>
      </c>
      <c r="L45" s="8" t="s">
        <v>172</v>
      </c>
      <c r="M45" s="8" t="s">
        <v>173</v>
      </c>
    </row>
    <row r="46" ht="92.4" customHeight="1" spans="1:13">
      <c r="A46">
        <v>45</v>
      </c>
      <c r="B46">
        <v>143</v>
      </c>
      <c r="C46">
        <v>144</v>
      </c>
      <c r="D46" t="s">
        <v>319</v>
      </c>
      <c r="E46">
        <v>0.119835790246725</v>
      </c>
      <c r="F46">
        <v>0.0332571103240494</v>
      </c>
      <c r="G46">
        <v>0</v>
      </c>
      <c r="H46" s="8" t="s">
        <v>168</v>
      </c>
      <c r="I46" s="8" t="s">
        <v>654</v>
      </c>
      <c r="J46" s="8" t="s">
        <v>723</v>
      </c>
      <c r="K46" s="8" t="s">
        <v>656</v>
      </c>
      <c r="L46" s="8" t="s">
        <v>172</v>
      </c>
      <c r="M46" s="8" t="s">
        <v>173</v>
      </c>
    </row>
    <row r="47" ht="184.8" customHeight="1" spans="1:13">
      <c r="A47">
        <v>46</v>
      </c>
      <c r="B47">
        <v>206</v>
      </c>
      <c r="C47">
        <v>207</v>
      </c>
      <c r="D47" t="s">
        <v>414</v>
      </c>
      <c r="E47">
        <v>0.119631614536047</v>
      </c>
      <c r="F47">
        <v>0.0378926281863244</v>
      </c>
      <c r="G47">
        <v>0</v>
      </c>
      <c r="H47" s="8" t="s">
        <v>229</v>
      </c>
      <c r="I47" s="8" t="s">
        <v>724</v>
      </c>
      <c r="J47" s="8" t="s">
        <v>725</v>
      </c>
      <c r="K47" s="8" t="s">
        <v>726</v>
      </c>
      <c r="L47" s="8" t="s">
        <v>727</v>
      </c>
      <c r="M47" s="8" t="s">
        <v>234</v>
      </c>
    </row>
    <row r="48" ht="158.4" customHeight="1" spans="1:13">
      <c r="A48">
        <v>47</v>
      </c>
      <c r="B48">
        <v>253</v>
      </c>
      <c r="C48">
        <v>254</v>
      </c>
      <c r="D48" t="s">
        <v>415</v>
      </c>
      <c r="E48">
        <v>0.119631613790989</v>
      </c>
      <c r="F48">
        <v>0.0378926321618902</v>
      </c>
      <c r="G48">
        <v>0</v>
      </c>
      <c r="H48" s="8" t="s">
        <v>168</v>
      </c>
      <c r="I48" s="8" t="s">
        <v>728</v>
      </c>
      <c r="J48" s="8" t="s">
        <v>729</v>
      </c>
      <c r="K48" s="8" t="s">
        <v>730</v>
      </c>
      <c r="L48" s="8" t="s">
        <v>172</v>
      </c>
      <c r="M48" s="8" t="s">
        <v>173</v>
      </c>
    </row>
    <row r="49" ht="79.2" customHeight="1" spans="1:13">
      <c r="A49">
        <v>48</v>
      </c>
      <c r="B49">
        <v>190</v>
      </c>
      <c r="C49">
        <v>191</v>
      </c>
      <c r="D49" t="s">
        <v>344</v>
      </c>
      <c r="E49">
        <v>0.114880231767893</v>
      </c>
      <c r="F49">
        <v>0.0372389531435844</v>
      </c>
      <c r="G49">
        <v>0</v>
      </c>
      <c r="H49" s="8" t="s">
        <v>168</v>
      </c>
      <c r="I49" s="8" t="s">
        <v>731</v>
      </c>
      <c r="J49" s="8" t="s">
        <v>732</v>
      </c>
      <c r="K49" s="8" t="s">
        <v>733</v>
      </c>
      <c r="L49" s="8" t="s">
        <v>172</v>
      </c>
      <c r="M49" s="8" t="s">
        <v>173</v>
      </c>
    </row>
    <row r="50" ht="79.2" customHeight="1" spans="1:13">
      <c r="A50">
        <v>49</v>
      </c>
      <c r="B50">
        <v>233</v>
      </c>
      <c r="C50">
        <v>234</v>
      </c>
      <c r="D50" t="s">
        <v>339</v>
      </c>
      <c r="E50">
        <v>0.114880228787661</v>
      </c>
      <c r="F50">
        <v>0.0372389618076044</v>
      </c>
      <c r="G50">
        <v>0</v>
      </c>
      <c r="H50" s="8" t="s">
        <v>240</v>
      </c>
      <c r="I50" s="8" t="s">
        <v>290</v>
      </c>
      <c r="J50" s="8" t="s">
        <v>734</v>
      </c>
      <c r="K50" s="8" t="s">
        <v>290</v>
      </c>
      <c r="L50" s="8" t="s">
        <v>346</v>
      </c>
      <c r="M50" s="8" t="s">
        <v>245</v>
      </c>
    </row>
    <row r="51" ht="92.4" customHeight="1" spans="1:13">
      <c r="A51">
        <v>50</v>
      </c>
      <c r="B51">
        <v>142</v>
      </c>
      <c r="C51">
        <v>143</v>
      </c>
      <c r="D51" t="s">
        <v>351</v>
      </c>
      <c r="E51">
        <v>0.113074511289597</v>
      </c>
      <c r="F51">
        <v>0.0463031468185388</v>
      </c>
      <c r="G51">
        <v>0</v>
      </c>
      <c r="H51" s="8" t="s">
        <v>168</v>
      </c>
      <c r="I51" s="8" t="s">
        <v>735</v>
      </c>
      <c r="J51" s="8" t="s">
        <v>736</v>
      </c>
      <c r="K51" s="8" t="s">
        <v>737</v>
      </c>
      <c r="L51" s="8" t="s">
        <v>172</v>
      </c>
      <c r="M51" s="8" t="s">
        <v>173</v>
      </c>
    </row>
    <row r="52" spans="1:13">
      <c r="A52">
        <v>51</v>
      </c>
      <c r="B52">
        <v>194</v>
      </c>
      <c r="C52">
        <v>195</v>
      </c>
      <c r="D52" t="s">
        <v>347</v>
      </c>
      <c r="E52">
        <v>0.11307450607419</v>
      </c>
      <c r="F52">
        <v>0.0463031441307424</v>
      </c>
      <c r="G52">
        <v>0</v>
      </c>
      <c r="H52" t="s">
        <v>290</v>
      </c>
      <c r="I52" t="s">
        <v>290</v>
      </c>
      <c r="J52" t="s">
        <v>290</v>
      </c>
    </row>
    <row r="53" spans="1:13">
      <c r="A53">
        <v>52</v>
      </c>
      <c r="B53">
        <v>290</v>
      </c>
      <c r="C53">
        <v>291</v>
      </c>
      <c r="D53" t="s">
        <v>370</v>
      </c>
      <c r="E53">
        <v>0.112539827823639</v>
      </c>
      <c r="F53">
        <v>0.04638612344347</v>
      </c>
      <c r="G53">
        <v>0</v>
      </c>
      <c r="H53" t="s">
        <v>290</v>
      </c>
      <c r="I53" t="s">
        <v>290</v>
      </c>
      <c r="J53" t="s">
        <v>290</v>
      </c>
    </row>
    <row r="54" spans="1:13">
      <c r="A54">
        <v>53</v>
      </c>
      <c r="B54">
        <v>228</v>
      </c>
      <c r="C54">
        <v>229</v>
      </c>
      <c r="D54" t="s">
        <v>335</v>
      </c>
      <c r="E54">
        <v>0.111837424337864</v>
      </c>
      <c r="F54">
        <v>0.0305374826563927</v>
      </c>
      <c r="G54">
        <v>0</v>
      </c>
      <c r="H54" t="s">
        <v>290</v>
      </c>
      <c r="I54" t="s">
        <v>290</v>
      </c>
      <c r="J54" t="s">
        <v>290</v>
      </c>
    </row>
    <row r="55" spans="1:13">
      <c r="A55">
        <v>54</v>
      </c>
      <c r="B55">
        <v>229</v>
      </c>
      <c r="C55">
        <v>230</v>
      </c>
      <c r="D55" t="s">
        <v>333</v>
      </c>
      <c r="E55">
        <v>0.111837424337864</v>
      </c>
      <c r="F55">
        <v>0.0305374826563927</v>
      </c>
      <c r="G55">
        <v>0</v>
      </c>
      <c r="H55" t="s">
        <v>290</v>
      </c>
      <c r="I55" t="s">
        <v>290</v>
      </c>
      <c r="J55" t="s">
        <v>290</v>
      </c>
    </row>
    <row r="56" spans="1:13">
      <c r="A56">
        <v>55</v>
      </c>
      <c r="B56">
        <v>247</v>
      </c>
      <c r="C56">
        <v>248</v>
      </c>
      <c r="D56" t="s">
        <v>328</v>
      </c>
      <c r="E56">
        <v>0.110371270030737</v>
      </c>
      <c r="F56">
        <v>0.0375191233727524</v>
      </c>
      <c r="G56">
        <v>0</v>
      </c>
      <c r="H56" t="s">
        <v>290</v>
      </c>
      <c r="I56" t="s">
        <v>290</v>
      </c>
      <c r="J56" t="s">
        <v>290</v>
      </c>
    </row>
    <row r="57" spans="1:13">
      <c r="A57">
        <v>56</v>
      </c>
      <c r="B57">
        <v>222</v>
      </c>
      <c r="C57">
        <v>223</v>
      </c>
      <c r="D57" t="s">
        <v>324</v>
      </c>
      <c r="E57">
        <v>0.110371256619692</v>
      </c>
      <c r="F57">
        <v>0.0375191119597389</v>
      </c>
      <c r="G57">
        <v>0</v>
      </c>
      <c r="H57" t="s">
        <v>290</v>
      </c>
      <c r="I57" t="s">
        <v>290</v>
      </c>
      <c r="J57" t="s">
        <v>290</v>
      </c>
    </row>
    <row r="58" spans="1:13">
      <c r="A58">
        <v>57</v>
      </c>
      <c r="B58">
        <v>128</v>
      </c>
      <c r="C58">
        <v>129</v>
      </c>
      <c r="D58" t="s">
        <v>358</v>
      </c>
      <c r="E58">
        <v>0.11009016931057</v>
      </c>
      <c r="F58">
        <v>0.0316940709471845</v>
      </c>
      <c r="G58">
        <v>0</v>
      </c>
      <c r="H58" t="s">
        <v>290</v>
      </c>
      <c r="I58" t="s">
        <v>290</v>
      </c>
      <c r="J58" t="s">
        <v>290</v>
      </c>
    </row>
    <row r="59" spans="1:13">
      <c r="A59">
        <v>58</v>
      </c>
      <c r="B59">
        <v>256</v>
      </c>
      <c r="C59">
        <v>257</v>
      </c>
      <c r="D59" t="s">
        <v>353</v>
      </c>
      <c r="E59">
        <v>0.110090160369873</v>
      </c>
      <c r="F59">
        <v>0.0316940781982779</v>
      </c>
      <c r="G59">
        <v>0</v>
      </c>
      <c r="H59" t="s">
        <v>290</v>
      </c>
      <c r="I59" t="s">
        <v>290</v>
      </c>
      <c r="J59" t="s">
        <v>290</v>
      </c>
    </row>
    <row r="60" spans="1:13">
      <c r="A60">
        <v>59</v>
      </c>
      <c r="B60">
        <v>278</v>
      </c>
      <c r="C60">
        <v>279</v>
      </c>
      <c r="D60" t="s">
        <v>369</v>
      </c>
      <c r="E60">
        <v>0.109200192242861</v>
      </c>
      <c r="F60">
        <v>0.0391525630331565</v>
      </c>
      <c r="G60">
        <v>0</v>
      </c>
      <c r="H60" t="s">
        <v>290</v>
      </c>
      <c r="I60" t="s">
        <v>290</v>
      </c>
      <c r="J60" t="s">
        <v>290</v>
      </c>
    </row>
    <row r="61" spans="1:13">
      <c r="A61">
        <v>60</v>
      </c>
      <c r="B61">
        <v>58</v>
      </c>
      <c r="C61">
        <v>59</v>
      </c>
      <c r="D61" t="s">
        <v>371</v>
      </c>
      <c r="E61">
        <v>0.108708344213665</v>
      </c>
      <c r="F61">
        <v>0.0574941767701968</v>
      </c>
      <c r="G61">
        <v>0</v>
      </c>
      <c r="H61" t="s">
        <v>290</v>
      </c>
      <c r="I61" t="s">
        <v>290</v>
      </c>
      <c r="J61" t="s">
        <v>290</v>
      </c>
    </row>
    <row r="62" spans="1:13">
      <c r="A62">
        <v>61</v>
      </c>
      <c r="B62">
        <v>160</v>
      </c>
      <c r="C62">
        <v>161</v>
      </c>
      <c r="D62" t="s">
        <v>360</v>
      </c>
      <c r="E62">
        <v>0.103970204293728</v>
      </c>
      <c r="F62">
        <v>0.030122818435017</v>
      </c>
      <c r="G62">
        <v>0</v>
      </c>
      <c r="H62" t="s">
        <v>290</v>
      </c>
      <c r="I62" t="s">
        <v>290</v>
      </c>
      <c r="J62" t="s">
        <v>290</v>
      </c>
    </row>
    <row r="63" spans="1:13">
      <c r="A63">
        <v>62</v>
      </c>
      <c r="B63">
        <v>125</v>
      </c>
      <c r="C63">
        <v>126</v>
      </c>
      <c r="D63" t="s">
        <v>362</v>
      </c>
      <c r="E63">
        <v>0.103193278610706</v>
      </c>
      <c r="F63">
        <v>0.0315304700245589</v>
      </c>
      <c r="G63">
        <v>0</v>
      </c>
      <c r="H63" t="s">
        <v>290</v>
      </c>
      <c r="I63" t="s">
        <v>290</v>
      </c>
      <c r="J63" t="s">
        <v>290</v>
      </c>
    </row>
    <row r="64" spans="1:13">
      <c r="A64">
        <v>63</v>
      </c>
      <c r="B64">
        <v>288</v>
      </c>
      <c r="C64">
        <v>289</v>
      </c>
      <c r="D64" t="s">
        <v>372</v>
      </c>
      <c r="E64">
        <v>0.102179393172264</v>
      </c>
      <c r="F64">
        <v>0.0384986893927209</v>
      </c>
      <c r="G64">
        <v>0</v>
      </c>
      <c r="H64" t="s">
        <v>290</v>
      </c>
      <c r="I64" t="s">
        <v>290</v>
      </c>
      <c r="J64" t="s">
        <v>290</v>
      </c>
    </row>
    <row r="65" spans="1:10">
      <c r="A65">
        <v>64</v>
      </c>
      <c r="B65">
        <v>279</v>
      </c>
      <c r="C65">
        <v>280</v>
      </c>
      <c r="D65" t="s">
        <v>373</v>
      </c>
      <c r="E65">
        <v>0.101730988547206</v>
      </c>
      <c r="F65">
        <v>0.0429814617038982</v>
      </c>
      <c r="G65">
        <v>0</v>
      </c>
      <c r="H65" t="s">
        <v>290</v>
      </c>
      <c r="I65" t="s">
        <v>290</v>
      </c>
      <c r="J65" t="s">
        <v>290</v>
      </c>
    </row>
    <row r="66" spans="1:10">
      <c r="A66">
        <v>65</v>
      </c>
      <c r="B66">
        <v>205</v>
      </c>
      <c r="C66">
        <v>206</v>
      </c>
      <c r="D66" t="s">
        <v>364</v>
      </c>
      <c r="E66">
        <v>0.0979239549487829</v>
      </c>
      <c r="F66">
        <v>0.0282958179428058</v>
      </c>
      <c r="G66">
        <v>0</v>
      </c>
      <c r="H66" t="s">
        <v>290</v>
      </c>
      <c r="I66" t="s">
        <v>290</v>
      </c>
      <c r="J66" t="s">
        <v>290</v>
      </c>
    </row>
    <row r="67" spans="1:10">
      <c r="A67">
        <v>66</v>
      </c>
      <c r="B67">
        <v>225</v>
      </c>
      <c r="C67">
        <v>226</v>
      </c>
      <c r="D67" t="s">
        <v>366</v>
      </c>
      <c r="E67">
        <v>0.0967084914445877</v>
      </c>
      <c r="F67">
        <v>0.0292298964618497</v>
      </c>
      <c r="G67">
        <v>0</v>
      </c>
      <c r="H67" t="s">
        <v>290</v>
      </c>
      <c r="I67" t="s">
        <v>290</v>
      </c>
      <c r="J67" t="s">
        <v>290</v>
      </c>
    </row>
    <row r="68" spans="1:10">
      <c r="A68">
        <v>67</v>
      </c>
      <c r="B68">
        <v>220</v>
      </c>
      <c r="C68">
        <v>221</v>
      </c>
      <c r="D68" t="s">
        <v>363</v>
      </c>
      <c r="E68">
        <v>0.0941325429826975</v>
      </c>
      <c r="F68">
        <v>0.0306890117659719</v>
      </c>
      <c r="G68">
        <v>0</v>
      </c>
      <c r="H68" t="s">
        <v>290</v>
      </c>
      <c r="I68" t="s">
        <v>290</v>
      </c>
      <c r="J68" t="s">
        <v>290</v>
      </c>
    </row>
    <row r="69" spans="1:10">
      <c r="A69">
        <v>68</v>
      </c>
      <c r="B69">
        <v>274</v>
      </c>
      <c r="C69">
        <v>275</v>
      </c>
      <c r="D69" t="s">
        <v>392</v>
      </c>
      <c r="E69">
        <v>0.0767325369641185</v>
      </c>
      <c r="F69">
        <v>0.0314230735144828</v>
      </c>
      <c r="G69">
        <v>0</v>
      </c>
      <c r="H69" t="s">
        <v>290</v>
      </c>
      <c r="I69" t="s">
        <v>290</v>
      </c>
      <c r="J69" t="s">
        <v>290</v>
      </c>
    </row>
    <row r="70" spans="1:10">
      <c r="A70">
        <v>69</v>
      </c>
      <c r="B70">
        <v>285</v>
      </c>
      <c r="C70">
        <v>286</v>
      </c>
      <c r="D70" t="s">
        <v>393</v>
      </c>
      <c r="E70">
        <v>0.0753559306263924</v>
      </c>
      <c r="F70">
        <v>0.0331886441298796</v>
      </c>
      <c r="G70">
        <v>0</v>
      </c>
      <c r="H70" t="s">
        <v>290</v>
      </c>
      <c r="I70" t="s">
        <v>290</v>
      </c>
      <c r="J70" t="s">
        <v>290</v>
      </c>
    </row>
    <row r="71" spans="1:10">
      <c r="A71">
        <v>70</v>
      </c>
      <c r="B71">
        <v>158</v>
      </c>
      <c r="C71">
        <v>159</v>
      </c>
      <c r="D71" t="s">
        <v>375</v>
      </c>
      <c r="E71">
        <v>0.0617139836773276</v>
      </c>
      <c r="F71">
        <v>0.0437705907543723</v>
      </c>
      <c r="G71">
        <v>0</v>
      </c>
      <c r="H71" t="s">
        <v>290</v>
      </c>
      <c r="I71" t="s">
        <v>290</v>
      </c>
      <c r="J71" t="s">
        <v>290</v>
      </c>
    </row>
    <row r="72" spans="1:10">
      <c r="A72">
        <v>71</v>
      </c>
      <c r="B72">
        <v>61</v>
      </c>
      <c r="C72">
        <v>62</v>
      </c>
      <c r="D72" t="s">
        <v>377</v>
      </c>
      <c r="E72">
        <v>0.0579545987769961</v>
      </c>
      <c r="F72">
        <v>0.0336992311188744</v>
      </c>
      <c r="G72">
        <v>0</v>
      </c>
      <c r="H72" t="s">
        <v>290</v>
      </c>
      <c r="I72" t="s">
        <v>290</v>
      </c>
      <c r="J72" t="s">
        <v>290</v>
      </c>
    </row>
    <row r="73" spans="1:10">
      <c r="A73">
        <v>72</v>
      </c>
      <c r="B73">
        <v>50</v>
      </c>
      <c r="C73">
        <v>51</v>
      </c>
      <c r="D73" t="s">
        <v>376</v>
      </c>
      <c r="E73">
        <v>0.0554626412689686</v>
      </c>
      <c r="F73">
        <v>0.0185141790067542</v>
      </c>
      <c r="G73">
        <v>0</v>
      </c>
      <c r="H73" t="s">
        <v>290</v>
      </c>
      <c r="I73" t="s">
        <v>290</v>
      </c>
      <c r="J73" t="s">
        <v>290</v>
      </c>
    </row>
    <row r="74" spans="1:10">
      <c r="A74">
        <v>73</v>
      </c>
      <c r="B74">
        <v>10</v>
      </c>
      <c r="C74">
        <v>11</v>
      </c>
      <c r="D74" t="s">
        <v>394</v>
      </c>
      <c r="E74">
        <v>0.0531410880386829</v>
      </c>
      <c r="F74">
        <v>0.0248760315218008</v>
      </c>
      <c r="G74">
        <v>0</v>
      </c>
      <c r="H74" t="s">
        <v>290</v>
      </c>
      <c r="I74" t="s">
        <v>290</v>
      </c>
      <c r="J74" t="s">
        <v>290</v>
      </c>
    </row>
    <row r="75" spans="1:10">
      <c r="A75">
        <v>74</v>
      </c>
      <c r="B75">
        <v>117</v>
      </c>
      <c r="C75">
        <v>118</v>
      </c>
      <c r="D75" t="s">
        <v>406</v>
      </c>
      <c r="E75">
        <v>0.0526273266412318</v>
      </c>
      <c r="F75">
        <v>0.0409184307919003</v>
      </c>
      <c r="G75">
        <v>0</v>
      </c>
      <c r="H75" t="s">
        <v>290</v>
      </c>
      <c r="I75" t="s">
        <v>290</v>
      </c>
      <c r="J75" t="s">
        <v>290</v>
      </c>
    </row>
    <row r="76" spans="1:10">
      <c r="A76">
        <v>75</v>
      </c>
      <c r="B76">
        <v>193</v>
      </c>
      <c r="C76">
        <v>194</v>
      </c>
      <c r="D76" t="s">
        <v>379</v>
      </c>
      <c r="E76">
        <v>0.0508541726507247</v>
      </c>
      <c r="F76">
        <v>0.0377318498434243</v>
      </c>
      <c r="G76">
        <v>0</v>
      </c>
      <c r="H76" t="s">
        <v>290</v>
      </c>
      <c r="I76" t="s">
        <v>290</v>
      </c>
      <c r="J76" t="s">
        <v>290</v>
      </c>
    </row>
    <row r="77" spans="1:10">
      <c r="A77">
        <v>76</v>
      </c>
      <c r="B77">
        <v>210</v>
      </c>
      <c r="C77">
        <v>211</v>
      </c>
      <c r="D77" t="s">
        <v>374</v>
      </c>
      <c r="E77">
        <v>0.0502758651971817</v>
      </c>
      <c r="F77">
        <v>0.00999591271314927</v>
      </c>
      <c r="G77">
        <v>0</v>
      </c>
      <c r="H77" t="s">
        <v>290</v>
      </c>
      <c r="I77" t="s">
        <v>290</v>
      </c>
      <c r="J77" t="s">
        <v>290</v>
      </c>
    </row>
    <row r="78" spans="1:10">
      <c r="A78">
        <v>77</v>
      </c>
      <c r="B78">
        <v>11</v>
      </c>
      <c r="C78">
        <v>12</v>
      </c>
      <c r="D78" t="s">
        <v>395</v>
      </c>
      <c r="E78">
        <v>0.0497567724436521</v>
      </c>
      <c r="F78">
        <v>0.0125064228212925</v>
      </c>
      <c r="G78">
        <v>0</v>
      </c>
      <c r="H78" t="s">
        <v>290</v>
      </c>
      <c r="I78" t="s">
        <v>290</v>
      </c>
      <c r="J78" t="s">
        <v>290</v>
      </c>
    </row>
    <row r="79" spans="1:10">
      <c r="A79">
        <v>78</v>
      </c>
      <c r="B79">
        <v>107</v>
      </c>
      <c r="C79">
        <v>108</v>
      </c>
      <c r="D79" t="s">
        <v>405</v>
      </c>
      <c r="E79">
        <v>0.0494788208045065</v>
      </c>
      <c r="F79">
        <v>0.0275099718737308</v>
      </c>
      <c r="G79">
        <v>0</v>
      </c>
      <c r="H79" t="s">
        <v>290</v>
      </c>
      <c r="I79" t="s">
        <v>290</v>
      </c>
      <c r="J79" t="s">
        <v>290</v>
      </c>
    </row>
    <row r="80" spans="1:10">
      <c r="A80">
        <v>79</v>
      </c>
      <c r="B80">
        <v>163</v>
      </c>
      <c r="C80">
        <v>164</v>
      </c>
      <c r="D80" t="s">
        <v>388</v>
      </c>
      <c r="E80">
        <v>0.0490053751505911</v>
      </c>
      <c r="F80">
        <v>0.0302848857266417</v>
      </c>
      <c r="G80">
        <v>0</v>
      </c>
      <c r="H80" t="s">
        <v>290</v>
      </c>
      <c r="I80" t="s">
        <v>290</v>
      </c>
      <c r="J80" t="s">
        <v>290</v>
      </c>
    </row>
    <row r="81" spans="1:10">
      <c r="A81">
        <v>80</v>
      </c>
      <c r="B81">
        <v>162</v>
      </c>
      <c r="C81">
        <v>163</v>
      </c>
      <c r="D81" t="s">
        <v>389</v>
      </c>
      <c r="E81">
        <v>0.0490053751505911</v>
      </c>
      <c r="F81">
        <v>0.0302848857266417</v>
      </c>
      <c r="G81">
        <v>0</v>
      </c>
      <c r="H81" t="s">
        <v>290</v>
      </c>
      <c r="I81" t="s">
        <v>290</v>
      </c>
      <c r="J81" t="s">
        <v>290</v>
      </c>
    </row>
    <row r="82" spans="1:10">
      <c r="A82">
        <v>81</v>
      </c>
      <c r="B82">
        <v>189</v>
      </c>
      <c r="C82">
        <v>190</v>
      </c>
      <c r="D82" t="s">
        <v>387</v>
      </c>
      <c r="E82">
        <v>0.0490053743124008</v>
      </c>
      <c r="F82">
        <v>0.0302848859266792</v>
      </c>
      <c r="G82">
        <v>0</v>
      </c>
      <c r="H82" t="s">
        <v>290</v>
      </c>
      <c r="I82" t="s">
        <v>290</v>
      </c>
      <c r="J82" t="s">
        <v>290</v>
      </c>
    </row>
    <row r="83" spans="1:10">
      <c r="A83">
        <v>82</v>
      </c>
      <c r="B83">
        <v>188</v>
      </c>
      <c r="C83">
        <v>189</v>
      </c>
      <c r="D83" t="s">
        <v>386</v>
      </c>
      <c r="E83">
        <v>0.0490053743124008</v>
      </c>
      <c r="F83">
        <v>0.0302848859266792</v>
      </c>
      <c r="G83">
        <v>0</v>
      </c>
      <c r="H83" t="s">
        <v>290</v>
      </c>
      <c r="I83" t="s">
        <v>290</v>
      </c>
      <c r="J83" t="s">
        <v>290</v>
      </c>
    </row>
    <row r="84" spans="1:10">
      <c r="A84">
        <v>83</v>
      </c>
      <c r="B84">
        <v>195</v>
      </c>
      <c r="C84">
        <v>196</v>
      </c>
      <c r="D84" t="s">
        <v>390</v>
      </c>
      <c r="E84">
        <v>0.0490053737536073</v>
      </c>
      <c r="F84">
        <v>0.030284887777583</v>
      </c>
      <c r="G84">
        <v>0</v>
      </c>
      <c r="H84" t="s">
        <v>290</v>
      </c>
      <c r="I84" t="s">
        <v>290</v>
      </c>
      <c r="J84" t="s">
        <v>290</v>
      </c>
    </row>
    <row r="85" spans="1:10">
      <c r="A85">
        <v>84</v>
      </c>
      <c r="B85">
        <v>185</v>
      </c>
      <c r="C85">
        <v>186</v>
      </c>
      <c r="D85" t="s">
        <v>384</v>
      </c>
      <c r="E85">
        <v>0.0490053737536073</v>
      </c>
      <c r="F85">
        <v>0.0302848872939678</v>
      </c>
      <c r="G85">
        <v>0</v>
      </c>
      <c r="H85" t="s">
        <v>290</v>
      </c>
      <c r="I85" t="s">
        <v>290</v>
      </c>
      <c r="J85" t="s">
        <v>290</v>
      </c>
    </row>
    <row r="86" spans="1:10">
      <c r="A86">
        <v>85</v>
      </c>
      <c r="B86">
        <v>184</v>
      </c>
      <c r="C86">
        <v>185</v>
      </c>
      <c r="D86" t="s">
        <v>385</v>
      </c>
      <c r="E86">
        <v>0.0490053737536073</v>
      </c>
      <c r="F86">
        <v>0.0302848872939678</v>
      </c>
      <c r="G86">
        <v>0</v>
      </c>
      <c r="H86" t="s">
        <v>290</v>
      </c>
      <c r="I86" t="s">
        <v>290</v>
      </c>
      <c r="J86" t="s">
        <v>290</v>
      </c>
    </row>
    <row r="87" spans="1:10">
      <c r="A87">
        <v>86</v>
      </c>
      <c r="B87">
        <v>209</v>
      </c>
      <c r="C87">
        <v>210</v>
      </c>
      <c r="D87" t="s">
        <v>380</v>
      </c>
      <c r="E87">
        <v>0.0490053730085492</v>
      </c>
      <c r="F87">
        <v>0.0302848837143017</v>
      </c>
      <c r="G87">
        <v>0</v>
      </c>
      <c r="H87" t="s">
        <v>290</v>
      </c>
      <c r="I87" t="s">
        <v>290</v>
      </c>
      <c r="J87" t="s">
        <v>290</v>
      </c>
    </row>
    <row r="88" spans="1:10">
      <c r="A88">
        <v>87</v>
      </c>
      <c r="B88">
        <v>223</v>
      </c>
      <c r="C88">
        <v>224</v>
      </c>
      <c r="D88" t="s">
        <v>382</v>
      </c>
      <c r="E88">
        <v>0.0490053714253008</v>
      </c>
      <c r="F88">
        <v>0.0302848819350606</v>
      </c>
      <c r="G88">
        <v>0</v>
      </c>
      <c r="H88" t="s">
        <v>290</v>
      </c>
      <c r="I88" t="s">
        <v>290</v>
      </c>
      <c r="J88" t="s">
        <v>290</v>
      </c>
    </row>
    <row r="89" spans="1:10">
      <c r="A89">
        <v>88</v>
      </c>
      <c r="B89">
        <v>132</v>
      </c>
      <c r="C89">
        <v>133</v>
      </c>
      <c r="D89" t="s">
        <v>381</v>
      </c>
      <c r="E89">
        <v>0.0490053713321686</v>
      </c>
      <c r="F89">
        <v>0.0302848824726488</v>
      </c>
      <c r="G89">
        <v>0</v>
      </c>
      <c r="H89" t="s">
        <v>290</v>
      </c>
      <c r="I89" t="s">
        <v>290</v>
      </c>
      <c r="J89" t="s">
        <v>290</v>
      </c>
    </row>
    <row r="90" spans="1:10">
      <c r="A90">
        <v>89</v>
      </c>
      <c r="B90">
        <v>201</v>
      </c>
      <c r="C90">
        <v>202</v>
      </c>
      <c r="D90" t="s">
        <v>383</v>
      </c>
      <c r="E90">
        <v>0.0490053706802428</v>
      </c>
      <c r="F90">
        <v>0.0302848832584552</v>
      </c>
      <c r="G90">
        <v>0</v>
      </c>
      <c r="H90" t="s">
        <v>290</v>
      </c>
      <c r="I90" t="s">
        <v>290</v>
      </c>
      <c r="J90" t="s">
        <v>290</v>
      </c>
    </row>
    <row r="91" spans="1:10">
      <c r="A91">
        <v>90</v>
      </c>
      <c r="B91">
        <v>91</v>
      </c>
      <c r="C91">
        <v>92</v>
      </c>
      <c r="D91" t="s">
        <v>397</v>
      </c>
      <c r="E91">
        <v>0.0478750220499933</v>
      </c>
      <c r="F91">
        <v>0.0229088545840291</v>
      </c>
      <c r="G91">
        <v>0</v>
      </c>
      <c r="H91" t="s">
        <v>290</v>
      </c>
      <c r="I91" t="s">
        <v>290</v>
      </c>
      <c r="J91" t="s">
        <v>290</v>
      </c>
    </row>
    <row r="92" spans="1:10">
      <c r="A92">
        <v>91</v>
      </c>
      <c r="B92">
        <v>259</v>
      </c>
      <c r="C92">
        <v>260</v>
      </c>
      <c r="D92" t="s">
        <v>398</v>
      </c>
      <c r="E92">
        <v>0.0456703278236091</v>
      </c>
      <c r="F92">
        <v>0.0338604949371761</v>
      </c>
      <c r="G92">
        <v>0</v>
      </c>
      <c r="H92" t="s">
        <v>290</v>
      </c>
      <c r="I92" t="s">
        <v>290</v>
      </c>
      <c r="J92" t="s">
        <v>290</v>
      </c>
    </row>
    <row r="93" spans="1:10">
      <c r="A93">
        <v>92</v>
      </c>
      <c r="B93">
        <v>54</v>
      </c>
      <c r="C93">
        <v>55</v>
      </c>
      <c r="D93" t="s">
        <v>378</v>
      </c>
      <c r="E93">
        <v>0.0456344831734896</v>
      </c>
      <c r="F93">
        <v>0.025878038540977</v>
      </c>
      <c r="G93">
        <v>0</v>
      </c>
      <c r="H93" t="s">
        <v>290</v>
      </c>
      <c r="I93" t="s">
        <v>290</v>
      </c>
      <c r="J93" t="s">
        <v>290</v>
      </c>
    </row>
    <row r="94" spans="1:10">
      <c r="A94">
        <v>93</v>
      </c>
      <c r="B94">
        <v>157</v>
      </c>
      <c r="C94">
        <v>158</v>
      </c>
      <c r="D94" t="s">
        <v>391</v>
      </c>
      <c r="E94">
        <v>0.0414650715887547</v>
      </c>
      <c r="F94">
        <v>0.0143028489763676</v>
      </c>
      <c r="G94">
        <v>0</v>
      </c>
      <c r="H94" t="s">
        <v>290</v>
      </c>
      <c r="I94" t="s">
        <v>290</v>
      </c>
      <c r="J94" t="s">
        <v>290</v>
      </c>
    </row>
    <row r="95" spans="1:10">
      <c r="A95">
        <v>94</v>
      </c>
      <c r="B95">
        <v>147</v>
      </c>
      <c r="C95">
        <v>148</v>
      </c>
      <c r="D95" t="s">
        <v>396</v>
      </c>
      <c r="E95">
        <v>0.035024088434875</v>
      </c>
      <c r="F95">
        <v>0.0136256910950364</v>
      </c>
      <c r="G95">
        <v>0</v>
      </c>
      <c r="H95" t="s">
        <v>290</v>
      </c>
      <c r="I95" t="s">
        <v>290</v>
      </c>
      <c r="J95" t="s">
        <v>290</v>
      </c>
    </row>
    <row r="96" spans="1:10">
      <c r="A96">
        <v>95</v>
      </c>
      <c r="B96">
        <v>126</v>
      </c>
      <c r="C96">
        <v>127</v>
      </c>
      <c r="D96" t="s">
        <v>404</v>
      </c>
      <c r="E96">
        <v>0.0330361088272184</v>
      </c>
      <c r="F96">
        <v>0.021604532870981</v>
      </c>
      <c r="G96">
        <v>0</v>
      </c>
      <c r="H96" t="s">
        <v>290</v>
      </c>
      <c r="I96" t="s">
        <v>290</v>
      </c>
      <c r="J96" t="s">
        <v>290</v>
      </c>
    </row>
    <row r="97" spans="1:10">
      <c r="A97">
        <v>96</v>
      </c>
      <c r="B97">
        <v>197</v>
      </c>
      <c r="C97">
        <v>198</v>
      </c>
      <c r="D97" t="s">
        <v>403</v>
      </c>
      <c r="E97">
        <v>0.0330361042171717</v>
      </c>
      <c r="F97">
        <v>0.0216045318235974</v>
      </c>
      <c r="G97">
        <v>0</v>
      </c>
      <c r="H97" t="s">
        <v>290</v>
      </c>
      <c r="I97" t="s">
        <v>290</v>
      </c>
      <c r="J97" t="s">
        <v>290</v>
      </c>
    </row>
    <row r="98" spans="1:10">
      <c r="A98">
        <v>97</v>
      </c>
      <c r="B98">
        <v>219</v>
      </c>
      <c r="C98">
        <v>220</v>
      </c>
      <c r="D98" t="s">
        <v>400</v>
      </c>
      <c r="E98">
        <v>0.0330361028434709</v>
      </c>
      <c r="F98">
        <v>0.0216045316499776</v>
      </c>
      <c r="G98">
        <v>0</v>
      </c>
      <c r="H98" t="s">
        <v>290</v>
      </c>
      <c r="I98" t="s">
        <v>290</v>
      </c>
      <c r="J98" t="s">
        <v>290</v>
      </c>
    </row>
    <row r="99" spans="1:10">
      <c r="A99">
        <v>98</v>
      </c>
      <c r="B99">
        <v>207</v>
      </c>
      <c r="C99">
        <v>208</v>
      </c>
      <c r="D99" t="s">
        <v>401</v>
      </c>
      <c r="E99">
        <v>0.0330361026804894</v>
      </c>
      <c r="F99">
        <v>0.0216045274739171</v>
      </c>
      <c r="G99">
        <v>0</v>
      </c>
      <c r="H99" t="s">
        <v>290</v>
      </c>
      <c r="I99" t="s">
        <v>290</v>
      </c>
      <c r="J99" t="s">
        <v>290</v>
      </c>
    </row>
    <row r="100" spans="1:10">
      <c r="A100">
        <v>99</v>
      </c>
      <c r="B100">
        <v>216</v>
      </c>
      <c r="C100">
        <v>217</v>
      </c>
      <c r="D100" t="s">
        <v>399</v>
      </c>
      <c r="E100">
        <v>0.0330361002357677</v>
      </c>
      <c r="F100">
        <v>0.0216045295421979</v>
      </c>
      <c r="G100">
        <v>0</v>
      </c>
      <c r="H100" t="s">
        <v>290</v>
      </c>
      <c r="I100" t="s">
        <v>290</v>
      </c>
      <c r="J100" t="s">
        <v>290</v>
      </c>
    </row>
    <row r="101" spans="1:10">
      <c r="A101">
        <v>100</v>
      </c>
      <c r="B101">
        <v>244</v>
      </c>
      <c r="C101">
        <v>245</v>
      </c>
      <c r="D101" t="s">
        <v>402</v>
      </c>
      <c r="E101">
        <v>0.0330360994907096</v>
      </c>
      <c r="F101">
        <v>0.0216045290173483</v>
      </c>
      <c r="G101">
        <v>0</v>
      </c>
      <c r="H101" t="s">
        <v>290</v>
      </c>
      <c r="I101" t="s">
        <v>290</v>
      </c>
      <c r="J101" t="s">
        <v>290</v>
      </c>
    </row>
    <row r="102" spans="1:10">
      <c r="A102">
        <v>101</v>
      </c>
      <c r="B102">
        <v>95</v>
      </c>
      <c r="C102">
        <v>96</v>
      </c>
      <c r="D102" t="s">
        <v>411</v>
      </c>
      <c r="E102">
        <v>0.0320314448559657</v>
      </c>
      <c r="F102">
        <v>0.0206366179635332</v>
      </c>
      <c r="G102">
        <v>0</v>
      </c>
      <c r="H102" t="s">
        <v>290</v>
      </c>
      <c r="I102" t="s">
        <v>290</v>
      </c>
      <c r="J102" t="s">
        <v>290</v>
      </c>
    </row>
    <row r="103" spans="1:10">
      <c r="A103">
        <v>102</v>
      </c>
      <c r="B103">
        <v>242</v>
      </c>
      <c r="C103">
        <v>243</v>
      </c>
      <c r="D103" t="s">
        <v>409</v>
      </c>
      <c r="E103">
        <v>0.0298132733209059</v>
      </c>
      <c r="F103">
        <v>0.0299129209022227</v>
      </c>
      <c r="G103">
        <v>0</v>
      </c>
      <c r="H103" t="s">
        <v>290</v>
      </c>
      <c r="I103" t="s">
        <v>290</v>
      </c>
      <c r="J103" t="s">
        <v>290</v>
      </c>
    </row>
    <row r="104" spans="1:10">
      <c r="A104">
        <v>103</v>
      </c>
      <c r="B104">
        <v>214</v>
      </c>
      <c r="C104">
        <v>215</v>
      </c>
      <c r="D104" t="s">
        <v>407</v>
      </c>
      <c r="E104">
        <v>0.0298132732743397</v>
      </c>
      <c r="F104">
        <v>0.0299129208074178</v>
      </c>
      <c r="G104">
        <v>0</v>
      </c>
      <c r="H104" t="s">
        <v>290</v>
      </c>
      <c r="I104" t="s">
        <v>290</v>
      </c>
      <c r="J104" t="s">
        <v>290</v>
      </c>
    </row>
    <row r="105" spans="1:10">
      <c r="A105">
        <v>104</v>
      </c>
      <c r="B105">
        <v>166</v>
      </c>
      <c r="C105">
        <v>167</v>
      </c>
      <c r="D105" t="s">
        <v>408</v>
      </c>
      <c r="E105">
        <v>0.0298132703872398</v>
      </c>
      <c r="F105">
        <v>0.029912916929306</v>
      </c>
      <c r="G105">
        <v>0</v>
      </c>
      <c r="H105" t="s">
        <v>290</v>
      </c>
      <c r="I105" t="s">
        <v>290</v>
      </c>
      <c r="J105" t="s">
        <v>290</v>
      </c>
    </row>
    <row r="106" spans="1:10">
      <c r="A106">
        <v>105</v>
      </c>
      <c r="B106">
        <v>63</v>
      </c>
      <c r="C106">
        <v>64</v>
      </c>
      <c r="D106" t="s">
        <v>412</v>
      </c>
      <c r="E106">
        <v>0.0263772973790765</v>
      </c>
      <c r="F106">
        <v>0.0126754617574902</v>
      </c>
      <c r="G106">
        <v>0</v>
      </c>
      <c r="H106" t="s">
        <v>290</v>
      </c>
      <c r="I106" t="s">
        <v>290</v>
      </c>
      <c r="J106" t="s">
        <v>290</v>
      </c>
    </row>
    <row r="107" spans="1:10">
      <c r="A107">
        <v>106</v>
      </c>
      <c r="B107">
        <v>277</v>
      </c>
      <c r="C107">
        <v>278</v>
      </c>
      <c r="D107" t="s">
        <v>417</v>
      </c>
      <c r="E107">
        <v>0.0252394951879978</v>
      </c>
      <c r="F107">
        <v>0.00969061435510658</v>
      </c>
      <c r="G107">
        <v>0</v>
      </c>
      <c r="H107" t="s">
        <v>290</v>
      </c>
      <c r="I107" t="s">
        <v>290</v>
      </c>
      <c r="J107" t="s">
        <v>290</v>
      </c>
    </row>
    <row r="108" spans="1:10">
      <c r="A108">
        <v>107</v>
      </c>
      <c r="B108">
        <v>273</v>
      </c>
      <c r="C108">
        <v>274</v>
      </c>
      <c r="D108" t="s">
        <v>416</v>
      </c>
      <c r="E108">
        <v>0.0252394942566752</v>
      </c>
      <c r="F108">
        <v>0.00969061532542097</v>
      </c>
      <c r="G108">
        <v>0</v>
      </c>
      <c r="H108" t="s">
        <v>290</v>
      </c>
      <c r="I108" t="s">
        <v>290</v>
      </c>
      <c r="J108" t="s">
        <v>290</v>
      </c>
    </row>
    <row r="109" spans="1:10">
      <c r="A109">
        <v>108</v>
      </c>
      <c r="B109">
        <v>231</v>
      </c>
      <c r="C109">
        <v>232</v>
      </c>
      <c r="D109" t="s">
        <v>410</v>
      </c>
      <c r="E109">
        <v>0.0226519741117954</v>
      </c>
      <c r="F109">
        <v>0.0100946335572534</v>
      </c>
      <c r="G109">
        <v>0</v>
      </c>
      <c r="H109" t="s">
        <v>290</v>
      </c>
      <c r="I109" t="s">
        <v>290</v>
      </c>
      <c r="J109" t="s">
        <v>290</v>
      </c>
    </row>
    <row r="110" spans="1:10">
      <c r="A110">
        <v>109</v>
      </c>
      <c r="B110">
        <v>6</v>
      </c>
      <c r="C110">
        <v>7</v>
      </c>
      <c r="D110" t="s">
        <v>422</v>
      </c>
      <c r="E110">
        <v>0.0186205260106362</v>
      </c>
      <c r="F110">
        <v>0.0138866520364017</v>
      </c>
      <c r="G110">
        <v>0</v>
      </c>
      <c r="H110" t="s">
        <v>290</v>
      </c>
      <c r="I110" t="s">
        <v>290</v>
      </c>
      <c r="J110" t="s">
        <v>290</v>
      </c>
    </row>
    <row r="111" spans="1:10">
      <c r="A111">
        <v>110</v>
      </c>
      <c r="B111">
        <v>47</v>
      </c>
      <c r="C111">
        <v>48</v>
      </c>
      <c r="D111" t="s">
        <v>413</v>
      </c>
      <c r="E111">
        <v>0.0178095081821084</v>
      </c>
      <c r="F111">
        <v>0.00542761252220588</v>
      </c>
      <c r="G111">
        <v>0</v>
      </c>
      <c r="H111" t="s">
        <v>290</v>
      </c>
      <c r="I111" t="s">
        <v>290</v>
      </c>
      <c r="J111" t="s">
        <v>290</v>
      </c>
    </row>
    <row r="112" spans="1:10">
      <c r="A112">
        <v>111</v>
      </c>
      <c r="B112">
        <v>92</v>
      </c>
      <c r="C112">
        <v>93</v>
      </c>
      <c r="D112" t="s">
        <v>424</v>
      </c>
      <c r="E112">
        <v>0.01672003865242</v>
      </c>
      <c r="F112">
        <v>0.00957628755220375</v>
      </c>
      <c r="G112">
        <v>0</v>
      </c>
      <c r="H112" t="s">
        <v>290</v>
      </c>
      <c r="I112" t="s">
        <v>290</v>
      </c>
      <c r="J112" t="s">
        <v>290</v>
      </c>
    </row>
    <row r="113" spans="1:10">
      <c r="A113">
        <v>112</v>
      </c>
      <c r="B113">
        <v>49</v>
      </c>
      <c r="C113">
        <v>50</v>
      </c>
      <c r="D113" t="s">
        <v>421</v>
      </c>
      <c r="E113">
        <v>0.0164755565114319</v>
      </c>
      <c r="F113">
        <v>0.00908576377945982</v>
      </c>
      <c r="G113">
        <v>0</v>
      </c>
      <c r="H113" t="s">
        <v>290</v>
      </c>
      <c r="I113" t="s">
        <v>290</v>
      </c>
      <c r="J113" t="s">
        <v>290</v>
      </c>
    </row>
    <row r="114" spans="1:10">
      <c r="A114">
        <v>113</v>
      </c>
      <c r="B114">
        <v>258</v>
      </c>
      <c r="C114">
        <v>259</v>
      </c>
      <c r="D114" t="s">
        <v>425</v>
      </c>
      <c r="E114">
        <v>0.015610317979008</v>
      </c>
      <c r="F114">
        <v>0.0119024462553355</v>
      </c>
      <c r="G114">
        <v>0</v>
      </c>
      <c r="H114" t="s">
        <v>290</v>
      </c>
      <c r="I114" t="s">
        <v>290</v>
      </c>
      <c r="J114" t="s">
        <v>290</v>
      </c>
    </row>
    <row r="115" spans="1:10">
      <c r="A115">
        <v>114</v>
      </c>
      <c r="B115">
        <v>7</v>
      </c>
      <c r="C115">
        <v>8</v>
      </c>
      <c r="D115" t="s">
        <v>420</v>
      </c>
      <c r="E115">
        <v>0.0134570096037351</v>
      </c>
      <c r="F115">
        <v>0.00726316751510482</v>
      </c>
      <c r="G115">
        <v>0</v>
      </c>
      <c r="H115" t="s">
        <v>290</v>
      </c>
      <c r="I115" t="s">
        <v>290</v>
      </c>
      <c r="J115" t="s">
        <v>290</v>
      </c>
    </row>
    <row r="116" spans="1:10">
      <c r="A116">
        <v>115</v>
      </c>
      <c r="B116">
        <v>12</v>
      </c>
      <c r="C116">
        <v>13</v>
      </c>
      <c r="D116" t="s">
        <v>432</v>
      </c>
      <c r="E116">
        <v>0.0127646289416589</v>
      </c>
      <c r="F116">
        <v>0.0118859597974318</v>
      </c>
      <c r="G116">
        <v>0</v>
      </c>
      <c r="H116" t="s">
        <v>290</v>
      </c>
      <c r="I116" t="s">
        <v>290</v>
      </c>
      <c r="J116" t="s">
        <v>290</v>
      </c>
    </row>
    <row r="117" spans="1:10">
      <c r="A117">
        <v>116</v>
      </c>
      <c r="B117">
        <v>241</v>
      </c>
      <c r="C117">
        <v>242</v>
      </c>
      <c r="D117" t="s">
        <v>419</v>
      </c>
      <c r="E117">
        <v>0.0119725287891924</v>
      </c>
      <c r="F117">
        <v>0.00613412112719395</v>
      </c>
      <c r="G117">
        <v>0</v>
      </c>
      <c r="H117" t="s">
        <v>290</v>
      </c>
      <c r="I117" t="s">
        <v>290</v>
      </c>
      <c r="J117" t="s">
        <v>290</v>
      </c>
    </row>
    <row r="118" spans="1:10">
      <c r="A118">
        <v>117</v>
      </c>
      <c r="B118">
        <v>123</v>
      </c>
      <c r="C118">
        <v>124</v>
      </c>
      <c r="D118" t="s">
        <v>428</v>
      </c>
      <c r="E118">
        <v>0.0114463437945233</v>
      </c>
      <c r="F118">
        <v>0.00940720936370836</v>
      </c>
      <c r="G118">
        <v>0</v>
      </c>
      <c r="H118" t="s">
        <v>290</v>
      </c>
      <c r="I118" t="s">
        <v>290</v>
      </c>
      <c r="J118" t="s">
        <v>290</v>
      </c>
    </row>
    <row r="119" spans="1:10">
      <c r="A119">
        <v>118</v>
      </c>
      <c r="B119">
        <v>53</v>
      </c>
      <c r="C119">
        <v>54</v>
      </c>
      <c r="D119" t="s">
        <v>430</v>
      </c>
      <c r="E119">
        <v>0.0102778296917677</v>
      </c>
      <c r="F119">
        <v>0.00727214559743389</v>
      </c>
      <c r="G119">
        <v>0</v>
      </c>
      <c r="H119" t="s">
        <v>290</v>
      </c>
      <c r="I119" t="s">
        <v>290</v>
      </c>
      <c r="J119" t="s">
        <v>290</v>
      </c>
    </row>
    <row r="120" spans="1:10">
      <c r="A120">
        <v>119</v>
      </c>
      <c r="B120">
        <v>22</v>
      </c>
      <c r="C120">
        <v>23</v>
      </c>
      <c r="D120" t="s">
        <v>431</v>
      </c>
      <c r="E120">
        <v>0.0101927232695743</v>
      </c>
      <c r="F120">
        <v>0.00451634803726077</v>
      </c>
      <c r="G120">
        <v>0</v>
      </c>
      <c r="H120" t="s">
        <v>290</v>
      </c>
      <c r="I120" t="s">
        <v>290</v>
      </c>
      <c r="J120" t="s">
        <v>290</v>
      </c>
    </row>
    <row r="121" spans="1:10">
      <c r="A121">
        <v>120</v>
      </c>
      <c r="B121">
        <v>52</v>
      </c>
      <c r="C121">
        <v>53</v>
      </c>
      <c r="D121" t="s">
        <v>443</v>
      </c>
      <c r="E121">
        <v>0.0100296628661454</v>
      </c>
      <c r="F121">
        <v>0.0103962883665755</v>
      </c>
      <c r="G121">
        <v>0</v>
      </c>
      <c r="H121" t="s">
        <v>290</v>
      </c>
      <c r="I121" t="s">
        <v>290</v>
      </c>
      <c r="J121" t="s">
        <v>290</v>
      </c>
    </row>
    <row r="122" spans="1:10">
      <c r="A122">
        <v>121</v>
      </c>
      <c r="B122">
        <v>265</v>
      </c>
      <c r="C122">
        <v>266</v>
      </c>
      <c r="D122" t="s">
        <v>446</v>
      </c>
      <c r="E122">
        <v>0.00986307225539349</v>
      </c>
      <c r="F122">
        <v>0.0107134128155981</v>
      </c>
      <c r="G122">
        <v>0</v>
      </c>
      <c r="H122" t="s">
        <v>290</v>
      </c>
      <c r="I122" t="s">
        <v>290</v>
      </c>
      <c r="J122" t="s">
        <v>290</v>
      </c>
    </row>
    <row r="123" spans="1:10">
      <c r="A123">
        <v>122</v>
      </c>
      <c r="B123">
        <v>146</v>
      </c>
      <c r="C123">
        <v>147</v>
      </c>
      <c r="D123" t="s">
        <v>423</v>
      </c>
      <c r="E123">
        <v>0.00980868805199861</v>
      </c>
      <c r="F123">
        <v>0.00487534506701997</v>
      </c>
      <c r="G123">
        <v>0</v>
      </c>
      <c r="H123" t="s">
        <v>290</v>
      </c>
      <c r="I123" t="s">
        <v>290</v>
      </c>
      <c r="J123" t="s">
        <v>290</v>
      </c>
    </row>
    <row r="124" spans="1:10">
      <c r="A124">
        <v>123</v>
      </c>
      <c r="B124">
        <v>64</v>
      </c>
      <c r="C124">
        <v>65</v>
      </c>
      <c r="D124" t="s">
        <v>444</v>
      </c>
      <c r="E124">
        <v>0.00973006368149072</v>
      </c>
      <c r="F124">
        <v>0.00846204950465885</v>
      </c>
      <c r="G124">
        <v>0</v>
      </c>
      <c r="H124" t="s">
        <v>290</v>
      </c>
      <c r="I124" t="s">
        <v>290</v>
      </c>
      <c r="J124" t="s">
        <v>290</v>
      </c>
    </row>
    <row r="125" spans="1:10">
      <c r="A125">
        <v>124</v>
      </c>
      <c r="B125">
        <v>14</v>
      </c>
      <c r="C125">
        <v>15</v>
      </c>
      <c r="D125" t="s">
        <v>429</v>
      </c>
      <c r="E125">
        <v>0.0096315577160567</v>
      </c>
      <c r="F125">
        <v>0.00465703599633627</v>
      </c>
      <c r="G125">
        <v>0</v>
      </c>
      <c r="H125" t="s">
        <v>290</v>
      </c>
      <c r="I125" t="s">
        <v>290</v>
      </c>
      <c r="J125" t="s">
        <v>290</v>
      </c>
    </row>
    <row r="126" spans="1:10">
      <c r="A126">
        <v>125</v>
      </c>
      <c r="B126">
        <v>65</v>
      </c>
      <c r="C126">
        <v>66</v>
      </c>
      <c r="D126" t="s">
        <v>447</v>
      </c>
      <c r="E126">
        <v>0.00953565643285401</v>
      </c>
      <c r="F126">
        <v>0.00820021394530868</v>
      </c>
      <c r="G126">
        <v>0</v>
      </c>
      <c r="H126" t="s">
        <v>290</v>
      </c>
      <c r="I126" t="s">
        <v>290</v>
      </c>
      <c r="J126" t="s">
        <v>290</v>
      </c>
    </row>
    <row r="127" spans="1:10">
      <c r="A127">
        <v>126</v>
      </c>
      <c r="B127">
        <v>211</v>
      </c>
      <c r="C127">
        <v>212</v>
      </c>
      <c r="D127" t="s">
        <v>434</v>
      </c>
      <c r="E127">
        <v>0.00858834957762156</v>
      </c>
      <c r="F127">
        <v>0.00894268284023355</v>
      </c>
      <c r="G127">
        <v>0</v>
      </c>
      <c r="H127" t="s">
        <v>290</v>
      </c>
      <c r="I127" t="s">
        <v>290</v>
      </c>
      <c r="J127" t="s">
        <v>290</v>
      </c>
    </row>
    <row r="128" spans="1:10">
      <c r="A128">
        <v>127</v>
      </c>
      <c r="B128">
        <v>212</v>
      </c>
      <c r="C128">
        <v>213</v>
      </c>
      <c r="D128" t="s">
        <v>435</v>
      </c>
      <c r="E128">
        <v>0.00858834957762156</v>
      </c>
      <c r="F128">
        <v>0.00894268284023355</v>
      </c>
      <c r="G128">
        <v>0</v>
      </c>
      <c r="H128" t="s">
        <v>290</v>
      </c>
      <c r="I128" t="s">
        <v>290</v>
      </c>
      <c r="J128" t="s">
        <v>290</v>
      </c>
    </row>
    <row r="129" spans="1:10">
      <c r="A129">
        <v>128</v>
      </c>
      <c r="B129">
        <v>169</v>
      </c>
      <c r="C129">
        <v>170</v>
      </c>
      <c r="D129" t="s">
        <v>442</v>
      </c>
      <c r="E129">
        <v>0.00858834901882801</v>
      </c>
      <c r="F129">
        <v>0.00894268292259865</v>
      </c>
      <c r="G129">
        <v>0</v>
      </c>
      <c r="H129" t="s">
        <v>290</v>
      </c>
      <c r="I129" t="s">
        <v>290</v>
      </c>
      <c r="J129" t="s">
        <v>290</v>
      </c>
    </row>
    <row r="130" spans="1:10">
      <c r="A130">
        <v>129</v>
      </c>
      <c r="B130">
        <v>186</v>
      </c>
      <c r="C130">
        <v>187</v>
      </c>
      <c r="D130" t="s">
        <v>441</v>
      </c>
      <c r="E130">
        <v>0.00858834880928043</v>
      </c>
      <c r="F130">
        <v>0.00894268205097603</v>
      </c>
      <c r="G130">
        <v>0</v>
      </c>
      <c r="H130" t="s">
        <v>290</v>
      </c>
      <c r="I130" t="s">
        <v>290</v>
      </c>
      <c r="J130" t="s">
        <v>290</v>
      </c>
    </row>
    <row r="131" spans="1:10">
      <c r="A131">
        <v>130</v>
      </c>
      <c r="B131">
        <v>199</v>
      </c>
      <c r="C131">
        <v>200</v>
      </c>
      <c r="D131" t="s">
        <v>433</v>
      </c>
      <c r="E131">
        <v>0.00858834866376128</v>
      </c>
      <c r="F131">
        <v>0.00894268194648539</v>
      </c>
      <c r="G131">
        <v>0</v>
      </c>
      <c r="H131" t="s">
        <v>290</v>
      </c>
      <c r="I131" t="s">
        <v>290</v>
      </c>
      <c r="J131" t="s">
        <v>290</v>
      </c>
    </row>
    <row r="132" spans="1:10">
      <c r="A132">
        <v>131</v>
      </c>
      <c r="B132">
        <v>180</v>
      </c>
      <c r="C132">
        <v>181</v>
      </c>
      <c r="D132" t="s">
        <v>439</v>
      </c>
      <c r="E132">
        <v>0.00858834848331753</v>
      </c>
      <c r="F132">
        <v>0.0089426823294814</v>
      </c>
      <c r="G132">
        <v>0</v>
      </c>
      <c r="H132" t="s">
        <v>290</v>
      </c>
      <c r="I132" t="s">
        <v>290</v>
      </c>
      <c r="J132" t="s">
        <v>290</v>
      </c>
    </row>
    <row r="133" spans="1:10">
      <c r="A133">
        <v>132</v>
      </c>
      <c r="B133">
        <v>149</v>
      </c>
      <c r="C133">
        <v>150</v>
      </c>
      <c r="D133" t="s">
        <v>438</v>
      </c>
      <c r="E133">
        <v>0.00858834781392943</v>
      </c>
      <c r="F133">
        <v>0.00894268122592485</v>
      </c>
      <c r="G133">
        <v>0</v>
      </c>
      <c r="H133" t="s">
        <v>290</v>
      </c>
      <c r="I133" t="s">
        <v>290</v>
      </c>
      <c r="J133" t="s">
        <v>290</v>
      </c>
    </row>
    <row r="134" spans="1:10">
      <c r="A134">
        <v>133</v>
      </c>
      <c r="B134">
        <v>138</v>
      </c>
      <c r="C134">
        <v>139</v>
      </c>
      <c r="D134" t="s">
        <v>440</v>
      </c>
      <c r="E134">
        <v>0.00858834772952832</v>
      </c>
      <c r="F134">
        <v>0.00894268195571691</v>
      </c>
      <c r="G134">
        <v>0</v>
      </c>
      <c r="H134" t="s">
        <v>290</v>
      </c>
      <c r="I134" t="s">
        <v>290</v>
      </c>
      <c r="J134" t="s">
        <v>290</v>
      </c>
    </row>
    <row r="135" spans="1:10">
      <c r="A135">
        <v>134</v>
      </c>
      <c r="B135">
        <v>237</v>
      </c>
      <c r="C135">
        <v>238</v>
      </c>
      <c r="D135" t="s">
        <v>437</v>
      </c>
      <c r="E135">
        <v>0.00858834729006048</v>
      </c>
      <c r="F135">
        <v>0.00894268156445689</v>
      </c>
      <c r="G135">
        <v>0</v>
      </c>
      <c r="H135" t="s">
        <v>290</v>
      </c>
      <c r="I135" t="s">
        <v>290</v>
      </c>
      <c r="J135" t="s">
        <v>290</v>
      </c>
    </row>
    <row r="136" spans="1:10">
      <c r="A136">
        <v>135</v>
      </c>
      <c r="B136">
        <v>236</v>
      </c>
      <c r="C136">
        <v>237</v>
      </c>
      <c r="D136" t="s">
        <v>436</v>
      </c>
      <c r="E136">
        <v>0.00858834729006048</v>
      </c>
      <c r="F136">
        <v>0.00894268156445689</v>
      </c>
      <c r="G136">
        <v>0</v>
      </c>
      <c r="H136" t="s">
        <v>290</v>
      </c>
      <c r="I136" t="s">
        <v>290</v>
      </c>
      <c r="J136" t="s">
        <v>290</v>
      </c>
    </row>
    <row r="137" spans="1:10">
      <c r="A137">
        <v>136</v>
      </c>
      <c r="B137">
        <v>1</v>
      </c>
      <c r="C137">
        <v>2</v>
      </c>
      <c r="D137" t="s">
        <v>427</v>
      </c>
      <c r="E137">
        <v>0.0084195239818655</v>
      </c>
      <c r="F137">
        <v>0.00410457646259797</v>
      </c>
      <c r="G137">
        <v>0</v>
      </c>
      <c r="H137" t="s">
        <v>290</v>
      </c>
      <c r="I137" t="s">
        <v>290</v>
      </c>
      <c r="J137" t="s">
        <v>290</v>
      </c>
    </row>
    <row r="138" spans="1:10">
      <c r="A138">
        <v>137</v>
      </c>
      <c r="B138">
        <v>251</v>
      </c>
      <c r="C138">
        <v>252</v>
      </c>
      <c r="D138" t="s">
        <v>426</v>
      </c>
      <c r="E138">
        <v>0.00815091915428639</v>
      </c>
      <c r="F138">
        <v>0.0036920127434386</v>
      </c>
      <c r="G138">
        <v>0</v>
      </c>
      <c r="H138" t="s">
        <v>290</v>
      </c>
      <c r="I138" t="s">
        <v>290</v>
      </c>
      <c r="J138" t="s">
        <v>290</v>
      </c>
    </row>
    <row r="139" spans="1:10">
      <c r="A139">
        <v>138</v>
      </c>
      <c r="B139">
        <v>20</v>
      </c>
      <c r="C139">
        <v>21</v>
      </c>
      <c r="D139" t="s">
        <v>445</v>
      </c>
      <c r="E139">
        <v>0.00753051075153053</v>
      </c>
      <c r="F139">
        <v>0.00504968203898894</v>
      </c>
      <c r="G139">
        <v>0</v>
      </c>
      <c r="H139" t="s">
        <v>290</v>
      </c>
      <c r="I139" t="s">
        <v>290</v>
      </c>
      <c r="J139" t="s">
        <v>290</v>
      </c>
    </row>
    <row r="140" spans="1:10">
      <c r="A140">
        <v>139</v>
      </c>
      <c r="B140">
        <v>56</v>
      </c>
      <c r="C140">
        <v>57</v>
      </c>
      <c r="D140" t="s">
        <v>460</v>
      </c>
      <c r="E140">
        <v>0.00717084026255179</v>
      </c>
      <c r="F140">
        <v>0.00837898754980642</v>
      </c>
      <c r="G140">
        <v>0</v>
      </c>
      <c r="H140" t="s">
        <v>290</v>
      </c>
      <c r="I140" t="s">
        <v>290</v>
      </c>
      <c r="J140" t="s">
        <v>290</v>
      </c>
    </row>
    <row r="141" spans="1:10">
      <c r="A141">
        <v>140</v>
      </c>
      <c r="B141">
        <v>264</v>
      </c>
      <c r="C141">
        <v>265</v>
      </c>
      <c r="D141" t="s">
        <v>464</v>
      </c>
      <c r="E141">
        <v>0.00687002878257772</v>
      </c>
      <c r="F141">
        <v>0.00843342649960945</v>
      </c>
      <c r="G141">
        <v>0</v>
      </c>
      <c r="H141" t="s">
        <v>290</v>
      </c>
      <c r="I141" t="s">
        <v>290</v>
      </c>
      <c r="J141" t="s">
        <v>290</v>
      </c>
    </row>
    <row r="142" spans="1:10">
      <c r="A142">
        <v>141</v>
      </c>
      <c r="B142">
        <v>263</v>
      </c>
      <c r="C142">
        <v>264</v>
      </c>
      <c r="D142" t="s">
        <v>465</v>
      </c>
      <c r="E142">
        <v>0.00687002878257772</v>
      </c>
      <c r="F142">
        <v>0.00843342649960945</v>
      </c>
      <c r="G142">
        <v>0</v>
      </c>
      <c r="H142" t="s">
        <v>290</v>
      </c>
      <c r="I142" t="s">
        <v>290</v>
      </c>
      <c r="J142" t="s">
        <v>290</v>
      </c>
    </row>
    <row r="143" spans="1:10">
      <c r="A143">
        <v>142</v>
      </c>
      <c r="B143">
        <v>282</v>
      </c>
      <c r="C143">
        <v>283</v>
      </c>
      <c r="D143" t="s">
        <v>462</v>
      </c>
      <c r="E143">
        <v>0.00660069796722382</v>
      </c>
      <c r="F143">
        <v>0.00498834877581169</v>
      </c>
      <c r="G143">
        <v>0</v>
      </c>
      <c r="H143" t="s">
        <v>290</v>
      </c>
      <c r="I143" t="s">
        <v>290</v>
      </c>
      <c r="J143" t="s">
        <v>290</v>
      </c>
    </row>
    <row r="144" spans="1:10">
      <c r="A144">
        <v>143</v>
      </c>
      <c r="B144">
        <v>283</v>
      </c>
      <c r="C144">
        <v>284</v>
      </c>
      <c r="D144" t="s">
        <v>461</v>
      </c>
      <c r="E144">
        <v>0.00660069796722382</v>
      </c>
      <c r="F144">
        <v>0.00498834877581169</v>
      </c>
      <c r="G144">
        <v>0</v>
      </c>
      <c r="H144" t="s">
        <v>290</v>
      </c>
      <c r="I144" t="s">
        <v>290</v>
      </c>
      <c r="J144" t="s">
        <v>290</v>
      </c>
    </row>
    <row r="145" spans="1:10">
      <c r="A145">
        <v>144</v>
      </c>
      <c r="B145">
        <v>284</v>
      </c>
      <c r="C145">
        <v>285</v>
      </c>
      <c r="D145" t="s">
        <v>463</v>
      </c>
      <c r="E145">
        <v>0.00660069796722382</v>
      </c>
      <c r="F145">
        <v>0.00498834877581169</v>
      </c>
      <c r="G145">
        <v>0</v>
      </c>
      <c r="H145" t="s">
        <v>290</v>
      </c>
      <c r="I145" t="s">
        <v>290</v>
      </c>
      <c r="J145" t="s">
        <v>290</v>
      </c>
    </row>
    <row r="146" spans="1:10">
      <c r="A146">
        <v>145</v>
      </c>
      <c r="B146">
        <v>129</v>
      </c>
      <c r="C146">
        <v>130</v>
      </c>
      <c r="D146" t="s">
        <v>449</v>
      </c>
      <c r="E146">
        <v>0.00654109173920006</v>
      </c>
      <c r="F146">
        <v>0.00490348981349168</v>
      </c>
      <c r="G146">
        <v>0</v>
      </c>
      <c r="H146" t="s">
        <v>290</v>
      </c>
      <c r="I146" t="s">
        <v>290</v>
      </c>
      <c r="J146" t="s">
        <v>290</v>
      </c>
    </row>
    <row r="147" spans="1:10">
      <c r="A147">
        <v>146</v>
      </c>
      <c r="B147">
        <v>19</v>
      </c>
      <c r="C147">
        <v>20</v>
      </c>
      <c r="D147" t="s">
        <v>451</v>
      </c>
      <c r="E147">
        <v>0.00633826868142933</v>
      </c>
      <c r="F147">
        <v>0.00345526533034257</v>
      </c>
      <c r="G147">
        <v>0</v>
      </c>
      <c r="H147" t="s">
        <v>290</v>
      </c>
      <c r="I147" t="s">
        <v>290</v>
      </c>
      <c r="J147" t="s">
        <v>290</v>
      </c>
    </row>
    <row r="148" spans="1:10">
      <c r="A148">
        <v>147</v>
      </c>
      <c r="B148">
        <v>90</v>
      </c>
      <c r="C148">
        <v>91</v>
      </c>
      <c r="D148" t="s">
        <v>450</v>
      </c>
      <c r="E148">
        <v>0.00633826821576804</v>
      </c>
      <c r="F148">
        <v>0.00345526508386726</v>
      </c>
      <c r="G148">
        <v>0</v>
      </c>
      <c r="H148" t="s">
        <v>290</v>
      </c>
      <c r="I148" t="s">
        <v>290</v>
      </c>
      <c r="J148" t="s">
        <v>290</v>
      </c>
    </row>
    <row r="149" spans="1:10">
      <c r="A149">
        <v>148</v>
      </c>
      <c r="B149">
        <v>227</v>
      </c>
      <c r="C149">
        <v>228</v>
      </c>
      <c r="D149" t="s">
        <v>448</v>
      </c>
      <c r="E149">
        <v>0.0056155641679652</v>
      </c>
      <c r="F149">
        <v>0.00260942100228202</v>
      </c>
      <c r="G149">
        <v>0</v>
      </c>
      <c r="H149" t="s">
        <v>290</v>
      </c>
      <c r="I149" t="s">
        <v>290</v>
      </c>
      <c r="J149" t="s">
        <v>290</v>
      </c>
    </row>
    <row r="150" spans="1:10">
      <c r="A150">
        <v>149</v>
      </c>
      <c r="B150">
        <v>18</v>
      </c>
      <c r="C150">
        <v>19</v>
      </c>
      <c r="D150" t="s">
        <v>459</v>
      </c>
      <c r="E150">
        <v>0.00534635778749362</v>
      </c>
      <c r="F150">
        <v>0.00294388551314167</v>
      </c>
      <c r="G150">
        <v>0</v>
      </c>
      <c r="H150" t="s">
        <v>290</v>
      </c>
      <c r="I150" t="s">
        <v>290</v>
      </c>
      <c r="J150" t="s">
        <v>290</v>
      </c>
    </row>
    <row r="151" spans="1:10">
      <c r="A151">
        <v>150</v>
      </c>
      <c r="B151">
        <v>21</v>
      </c>
      <c r="C151">
        <v>22</v>
      </c>
      <c r="D151" t="s">
        <v>458</v>
      </c>
      <c r="E151">
        <v>0.00534635769436136</v>
      </c>
      <c r="F151">
        <v>0.00294388526462966</v>
      </c>
      <c r="G151">
        <v>0</v>
      </c>
      <c r="H151" t="s">
        <v>290</v>
      </c>
      <c r="I151" t="s">
        <v>290</v>
      </c>
      <c r="J151" t="s">
        <v>290</v>
      </c>
    </row>
    <row r="152" spans="1:10">
      <c r="A152">
        <v>151</v>
      </c>
      <c r="B152">
        <v>218</v>
      </c>
      <c r="C152">
        <v>219</v>
      </c>
      <c r="D152" t="s">
        <v>453</v>
      </c>
      <c r="E152">
        <v>0.00397283378988504</v>
      </c>
      <c r="F152">
        <v>0.00183232051096572</v>
      </c>
      <c r="G152">
        <v>0</v>
      </c>
      <c r="H152" t="s">
        <v>290</v>
      </c>
      <c r="I152" t="s">
        <v>290</v>
      </c>
      <c r="J152" t="s">
        <v>290</v>
      </c>
    </row>
    <row r="153" spans="1:10">
      <c r="A153">
        <v>152</v>
      </c>
      <c r="B153">
        <v>148</v>
      </c>
      <c r="C153">
        <v>149</v>
      </c>
      <c r="D153" t="s">
        <v>454</v>
      </c>
      <c r="E153">
        <v>0.00397283338243142</v>
      </c>
      <c r="F153">
        <v>0.0018323198216835</v>
      </c>
      <c r="G153">
        <v>0</v>
      </c>
      <c r="H153" t="s">
        <v>290</v>
      </c>
      <c r="I153" t="s">
        <v>290</v>
      </c>
      <c r="J153" t="s">
        <v>290</v>
      </c>
    </row>
    <row r="154" spans="1:10">
      <c r="A154">
        <v>153</v>
      </c>
      <c r="B154">
        <v>198</v>
      </c>
      <c r="C154">
        <v>199</v>
      </c>
      <c r="D154" t="s">
        <v>452</v>
      </c>
      <c r="E154">
        <v>0.00397283321944997</v>
      </c>
      <c r="F154">
        <v>0.00183231961512635</v>
      </c>
      <c r="G154">
        <v>0</v>
      </c>
      <c r="H154" t="s">
        <v>290</v>
      </c>
      <c r="I154" t="s">
        <v>290</v>
      </c>
      <c r="J154" t="s">
        <v>290</v>
      </c>
    </row>
    <row r="155" spans="1:10">
      <c r="A155">
        <v>154</v>
      </c>
      <c r="B155">
        <v>152</v>
      </c>
      <c r="C155">
        <v>153</v>
      </c>
      <c r="D155" t="s">
        <v>457</v>
      </c>
      <c r="E155">
        <v>0.0039728331961669</v>
      </c>
      <c r="F155">
        <v>0.00183231992169863</v>
      </c>
      <c r="G155">
        <v>0</v>
      </c>
      <c r="H155" t="s">
        <v>290</v>
      </c>
      <c r="I155" t="s">
        <v>290</v>
      </c>
      <c r="J155" t="s">
        <v>290</v>
      </c>
    </row>
    <row r="156" spans="1:10">
      <c r="A156">
        <v>155</v>
      </c>
      <c r="B156">
        <v>150</v>
      </c>
      <c r="C156">
        <v>151</v>
      </c>
      <c r="D156" t="s">
        <v>456</v>
      </c>
      <c r="E156">
        <v>0.00397283291677013</v>
      </c>
      <c r="F156">
        <v>0.00183231955232137</v>
      </c>
      <c r="G156">
        <v>0</v>
      </c>
      <c r="H156" t="s">
        <v>290</v>
      </c>
      <c r="I156" t="s">
        <v>290</v>
      </c>
      <c r="J156" t="s">
        <v>290</v>
      </c>
    </row>
    <row r="157" spans="1:10">
      <c r="A157">
        <v>156</v>
      </c>
      <c r="B157">
        <v>235</v>
      </c>
      <c r="C157">
        <v>236</v>
      </c>
      <c r="D157" t="s">
        <v>455</v>
      </c>
      <c r="E157">
        <v>0.00397283268393949</v>
      </c>
      <c r="F157">
        <v>0.00183231939411673</v>
      </c>
      <c r="G157">
        <v>0</v>
      </c>
      <c r="H157" t="s">
        <v>290</v>
      </c>
      <c r="I157" t="s">
        <v>290</v>
      </c>
      <c r="J157" t="s">
        <v>290</v>
      </c>
    </row>
    <row r="158" spans="1:10">
      <c r="A158">
        <v>157</v>
      </c>
      <c r="B158">
        <v>13</v>
      </c>
      <c r="C158">
        <v>14</v>
      </c>
      <c r="D158" t="s">
        <v>468</v>
      </c>
      <c r="E158">
        <v>0.00292672857758589</v>
      </c>
      <c r="F158">
        <v>0.00236767892762981</v>
      </c>
      <c r="G158">
        <v>0</v>
      </c>
      <c r="H158" t="s">
        <v>290</v>
      </c>
      <c r="I158" t="s">
        <v>290</v>
      </c>
      <c r="J158" t="s">
        <v>290</v>
      </c>
    </row>
    <row r="159" spans="1:10">
      <c r="A159">
        <v>158</v>
      </c>
      <c r="B159">
        <v>221</v>
      </c>
      <c r="C159">
        <v>222</v>
      </c>
      <c r="D159" t="s">
        <v>466</v>
      </c>
      <c r="E159">
        <v>0.00212549206917174</v>
      </c>
      <c r="F159">
        <v>0.000840236454793455</v>
      </c>
      <c r="G159">
        <v>0</v>
      </c>
      <c r="H159" t="s">
        <v>290</v>
      </c>
      <c r="I159" t="s">
        <v>290</v>
      </c>
      <c r="J159" t="s">
        <v>290</v>
      </c>
    </row>
    <row r="160" spans="1:10">
      <c r="A160">
        <v>159</v>
      </c>
      <c r="B160">
        <v>243</v>
      </c>
      <c r="C160">
        <v>244</v>
      </c>
      <c r="D160" t="s">
        <v>470</v>
      </c>
      <c r="E160">
        <v>0.00200520282523939</v>
      </c>
      <c r="F160">
        <v>0.0018719294667323</v>
      </c>
      <c r="G160">
        <v>0</v>
      </c>
      <c r="H160" t="s">
        <v>290</v>
      </c>
      <c r="I160" t="s">
        <v>290</v>
      </c>
      <c r="J160" t="s">
        <v>290</v>
      </c>
    </row>
    <row r="161" spans="1:10">
      <c r="A161">
        <v>160</v>
      </c>
      <c r="B161">
        <v>266</v>
      </c>
      <c r="C161">
        <v>267</v>
      </c>
      <c r="D161" t="s">
        <v>469</v>
      </c>
      <c r="E161">
        <v>0.00200429587857798</v>
      </c>
      <c r="F161">
        <v>0.000639656462817308</v>
      </c>
      <c r="G161">
        <v>0</v>
      </c>
      <c r="H161" t="s">
        <v>290</v>
      </c>
      <c r="I161" t="s">
        <v>290</v>
      </c>
      <c r="J161" t="s">
        <v>290</v>
      </c>
    </row>
    <row r="162" spans="1:10">
      <c r="A162">
        <v>161</v>
      </c>
      <c r="B162">
        <v>234</v>
      </c>
      <c r="C162">
        <v>235</v>
      </c>
      <c r="D162" t="s">
        <v>467</v>
      </c>
      <c r="E162">
        <v>0.00200089195277542</v>
      </c>
      <c r="F162">
        <v>0.000938533265397074</v>
      </c>
      <c r="G162">
        <v>0</v>
      </c>
      <c r="H162" t="s">
        <v>290</v>
      </c>
      <c r="I162" t="s">
        <v>290</v>
      </c>
      <c r="J162" t="s">
        <v>290</v>
      </c>
    </row>
    <row r="163" spans="1:10">
      <c r="A163">
        <v>162</v>
      </c>
      <c r="B163">
        <v>51</v>
      </c>
      <c r="C163">
        <v>52</v>
      </c>
      <c r="D163" t="s">
        <v>472</v>
      </c>
      <c r="E163">
        <v>0.0018000465555815</v>
      </c>
      <c r="F163">
        <v>0.00167575515586038</v>
      </c>
      <c r="G163">
        <v>0</v>
      </c>
      <c r="H163" t="s">
        <v>290</v>
      </c>
      <c r="I163" t="s">
        <v>290</v>
      </c>
      <c r="J163" t="s">
        <v>290</v>
      </c>
    </row>
    <row r="164" spans="1:10">
      <c r="A164">
        <v>163</v>
      </c>
      <c r="B164">
        <v>261</v>
      </c>
      <c r="C164">
        <v>262</v>
      </c>
      <c r="D164" t="s">
        <v>471</v>
      </c>
      <c r="E164">
        <v>0.00180004651192576</v>
      </c>
      <c r="F164">
        <v>0.0016757550431512</v>
      </c>
      <c r="G164">
        <v>0</v>
      </c>
      <c r="H164" t="s">
        <v>290</v>
      </c>
      <c r="I164" t="s">
        <v>290</v>
      </c>
      <c r="J164" t="s">
        <v>290</v>
      </c>
    </row>
    <row r="165" spans="1:10">
      <c r="A165">
        <v>164</v>
      </c>
      <c r="B165">
        <v>34</v>
      </c>
      <c r="C165">
        <v>35</v>
      </c>
      <c r="D165" t="s">
        <v>519</v>
      </c>
      <c r="E165">
        <v>8.5045802188688e-5</v>
      </c>
      <c r="F165">
        <v>7.44559088843385e-5</v>
      </c>
      <c r="G165">
        <v>0</v>
      </c>
      <c r="H165" t="s">
        <v>290</v>
      </c>
      <c r="I165" t="s">
        <v>290</v>
      </c>
      <c r="J165" t="s">
        <v>290</v>
      </c>
    </row>
    <row r="166" spans="1:10">
      <c r="A166">
        <v>165</v>
      </c>
      <c r="B166">
        <v>124</v>
      </c>
      <c r="C166">
        <v>125</v>
      </c>
      <c r="D166" t="s">
        <v>518</v>
      </c>
      <c r="E166">
        <v>8.27946179924766e-5</v>
      </c>
      <c r="F166">
        <v>6.21590535735506e-5</v>
      </c>
      <c r="G166">
        <v>0</v>
      </c>
      <c r="H166" t="s">
        <v>290</v>
      </c>
      <c r="I166" t="s">
        <v>290</v>
      </c>
      <c r="J166" t="s">
        <v>290</v>
      </c>
    </row>
    <row r="167" spans="1:10">
      <c r="A167">
        <v>166</v>
      </c>
      <c r="B167">
        <v>104</v>
      </c>
      <c r="C167">
        <v>105</v>
      </c>
      <c r="D167" t="s">
        <v>523</v>
      </c>
      <c r="E167">
        <v>7.38654463930288e-5</v>
      </c>
      <c r="F167">
        <v>3.04753454206145e-5</v>
      </c>
      <c r="G167">
        <v>0</v>
      </c>
      <c r="H167" t="s">
        <v>290</v>
      </c>
      <c r="I167" t="s">
        <v>290</v>
      </c>
      <c r="J167" t="s">
        <v>290</v>
      </c>
    </row>
    <row r="168" spans="1:10">
      <c r="A168">
        <v>167</v>
      </c>
      <c r="B168">
        <v>103</v>
      </c>
      <c r="C168">
        <v>104</v>
      </c>
      <c r="D168" t="s">
        <v>522</v>
      </c>
      <c r="E168">
        <v>7.38654463930288e-5</v>
      </c>
      <c r="F168">
        <v>3.04753454206145e-5</v>
      </c>
      <c r="G168">
        <v>0</v>
      </c>
      <c r="H168" t="s">
        <v>290</v>
      </c>
      <c r="I168" t="s">
        <v>290</v>
      </c>
      <c r="J168" t="s">
        <v>290</v>
      </c>
    </row>
    <row r="169" spans="1:10">
      <c r="A169">
        <v>168</v>
      </c>
      <c r="B169">
        <v>109</v>
      </c>
      <c r="C169">
        <v>110</v>
      </c>
      <c r="D169" t="s">
        <v>521</v>
      </c>
      <c r="E169">
        <v>7.38654362066882e-5</v>
      </c>
      <c r="F169">
        <v>3.04753522974459e-5</v>
      </c>
      <c r="G169">
        <v>0</v>
      </c>
      <c r="H169" t="s">
        <v>290</v>
      </c>
      <c r="I169" t="s">
        <v>290</v>
      </c>
      <c r="J169" t="s">
        <v>290</v>
      </c>
    </row>
    <row r="170" spans="1:10">
      <c r="A170">
        <v>169</v>
      </c>
      <c r="B170">
        <v>121</v>
      </c>
      <c r="C170">
        <v>122</v>
      </c>
      <c r="D170" t="s">
        <v>524</v>
      </c>
      <c r="E170">
        <v>7.38654331144062e-5</v>
      </c>
      <c r="F170">
        <v>3.04753352977108e-5</v>
      </c>
      <c r="G170">
        <v>0</v>
      </c>
      <c r="H170" t="s">
        <v>290</v>
      </c>
      <c r="I170" t="s">
        <v>290</v>
      </c>
      <c r="J170" t="s">
        <v>290</v>
      </c>
    </row>
    <row r="171" spans="1:10">
      <c r="A171">
        <v>170</v>
      </c>
      <c r="B171">
        <v>122</v>
      </c>
      <c r="C171">
        <v>123</v>
      </c>
      <c r="D171" t="s">
        <v>525</v>
      </c>
      <c r="E171">
        <v>7.38654331144062e-5</v>
      </c>
      <c r="F171">
        <v>3.04753352977108e-5</v>
      </c>
      <c r="G171">
        <v>0</v>
      </c>
      <c r="H171" t="s">
        <v>290</v>
      </c>
      <c r="I171" t="s">
        <v>290</v>
      </c>
      <c r="J171" t="s">
        <v>290</v>
      </c>
    </row>
    <row r="172" spans="1:10">
      <c r="A172">
        <v>171</v>
      </c>
      <c r="B172">
        <v>111</v>
      </c>
      <c r="C172">
        <v>112</v>
      </c>
      <c r="D172" t="s">
        <v>527</v>
      </c>
      <c r="E172">
        <v>7.38654252927518e-5</v>
      </c>
      <c r="F172">
        <v>3.04753378801651e-5</v>
      </c>
      <c r="G172">
        <v>0</v>
      </c>
      <c r="H172" t="s">
        <v>290</v>
      </c>
      <c r="I172" t="s">
        <v>290</v>
      </c>
      <c r="J172" t="s">
        <v>290</v>
      </c>
    </row>
    <row r="173" spans="1:10">
      <c r="A173">
        <v>172</v>
      </c>
      <c r="B173">
        <v>116</v>
      </c>
      <c r="C173">
        <v>117</v>
      </c>
      <c r="D173" t="s">
        <v>526</v>
      </c>
      <c r="E173">
        <v>7.3865421472874e-5</v>
      </c>
      <c r="F173">
        <v>3.04753123455592e-5</v>
      </c>
      <c r="G173">
        <v>0</v>
      </c>
      <c r="H173" t="s">
        <v>290</v>
      </c>
      <c r="I173" t="s">
        <v>290</v>
      </c>
      <c r="J173" t="s">
        <v>290</v>
      </c>
    </row>
    <row r="174" spans="1:10">
      <c r="A174">
        <v>173</v>
      </c>
      <c r="B174">
        <v>9</v>
      </c>
      <c r="C174">
        <v>10</v>
      </c>
      <c r="D174" t="s">
        <v>528</v>
      </c>
      <c r="E174">
        <v>7.38654147426132e-5</v>
      </c>
      <c r="F174">
        <v>3.04752984358697e-5</v>
      </c>
      <c r="G174">
        <v>0</v>
      </c>
      <c r="H174" t="s">
        <v>290</v>
      </c>
      <c r="I174" t="s">
        <v>290</v>
      </c>
      <c r="J174" t="s">
        <v>290</v>
      </c>
    </row>
    <row r="175" spans="1:10">
      <c r="A175">
        <v>174</v>
      </c>
      <c r="B175">
        <v>29</v>
      </c>
      <c r="C175">
        <v>30</v>
      </c>
      <c r="D175" t="s">
        <v>520</v>
      </c>
      <c r="E175">
        <v>7.38653914595488e-5</v>
      </c>
      <c r="F175">
        <v>3.04752817187112e-5</v>
      </c>
      <c r="G175">
        <v>0</v>
      </c>
      <c r="H175" t="s">
        <v>290</v>
      </c>
      <c r="I175" t="s">
        <v>290</v>
      </c>
      <c r="J175" t="s">
        <v>290</v>
      </c>
    </row>
    <row r="176" spans="1:10">
      <c r="A176">
        <v>175</v>
      </c>
      <c r="B176">
        <v>94</v>
      </c>
      <c r="C176">
        <v>95</v>
      </c>
      <c r="D176" t="s">
        <v>529</v>
      </c>
      <c r="E176">
        <v>7.06372937202104e-5</v>
      </c>
      <c r="F176">
        <v>4.68578704567018e-5</v>
      </c>
      <c r="G176">
        <v>0</v>
      </c>
      <c r="H176" t="s">
        <v>290</v>
      </c>
      <c r="I176" t="s">
        <v>290</v>
      </c>
      <c r="J176" t="s">
        <v>290</v>
      </c>
    </row>
    <row r="177" spans="1:10">
      <c r="A177">
        <v>176</v>
      </c>
      <c r="B177">
        <v>215</v>
      </c>
      <c r="C177">
        <v>216</v>
      </c>
      <c r="D177" t="s">
        <v>484</v>
      </c>
      <c r="E177">
        <v>6.95992344844853e-5</v>
      </c>
      <c r="F177">
        <v>2.84592200744635e-5</v>
      </c>
      <c r="G177">
        <v>0</v>
      </c>
      <c r="H177" t="s">
        <v>290</v>
      </c>
      <c r="I177" t="s">
        <v>290</v>
      </c>
      <c r="J177" t="s">
        <v>290</v>
      </c>
    </row>
    <row r="178" spans="1:10">
      <c r="A178">
        <v>177</v>
      </c>
      <c r="B178">
        <v>213</v>
      </c>
      <c r="C178">
        <v>214</v>
      </c>
      <c r="D178" t="s">
        <v>485</v>
      </c>
      <c r="E178">
        <v>6.95992344844853e-5</v>
      </c>
      <c r="F178">
        <v>2.84592200744635e-5</v>
      </c>
      <c r="G178">
        <v>0</v>
      </c>
      <c r="H178" t="s">
        <v>290</v>
      </c>
      <c r="I178" t="s">
        <v>290</v>
      </c>
      <c r="J178" t="s">
        <v>290</v>
      </c>
    </row>
    <row r="179" spans="1:10">
      <c r="A179">
        <v>178</v>
      </c>
      <c r="B179">
        <v>217</v>
      </c>
      <c r="C179">
        <v>218</v>
      </c>
      <c r="D179" t="s">
        <v>477</v>
      </c>
      <c r="E179">
        <v>6.95992272085277e-5</v>
      </c>
      <c r="F179">
        <v>2.84592172963407e-5</v>
      </c>
      <c r="G179">
        <v>0</v>
      </c>
      <c r="H179" t="s">
        <v>290</v>
      </c>
      <c r="I179" t="s">
        <v>290</v>
      </c>
      <c r="J179" t="s">
        <v>290</v>
      </c>
    </row>
    <row r="180" spans="1:10">
      <c r="A180">
        <v>179</v>
      </c>
      <c r="B180">
        <v>208</v>
      </c>
      <c r="C180">
        <v>209</v>
      </c>
      <c r="D180" t="s">
        <v>483</v>
      </c>
      <c r="E180">
        <v>6.95992166583892e-5</v>
      </c>
      <c r="F180">
        <v>2.84592154315836e-5</v>
      </c>
      <c r="G180">
        <v>0</v>
      </c>
      <c r="H180" t="s">
        <v>290</v>
      </c>
      <c r="I180" t="s">
        <v>290</v>
      </c>
      <c r="J180" t="s">
        <v>290</v>
      </c>
    </row>
    <row r="181" spans="1:10">
      <c r="A181">
        <v>180</v>
      </c>
      <c r="B181">
        <v>130</v>
      </c>
      <c r="C181">
        <v>131</v>
      </c>
      <c r="D181" t="s">
        <v>491</v>
      </c>
      <c r="E181">
        <v>6.95992162945913e-5</v>
      </c>
      <c r="F181">
        <v>2.84592030818336e-5</v>
      </c>
      <c r="G181">
        <v>0</v>
      </c>
      <c r="H181" t="s">
        <v>290</v>
      </c>
      <c r="I181" t="s">
        <v>290</v>
      </c>
      <c r="J181" t="s">
        <v>290</v>
      </c>
    </row>
    <row r="182" spans="1:10">
      <c r="A182">
        <v>181</v>
      </c>
      <c r="B182">
        <v>131</v>
      </c>
      <c r="C182">
        <v>132</v>
      </c>
      <c r="D182" t="s">
        <v>493</v>
      </c>
      <c r="E182">
        <v>6.95992162945913e-5</v>
      </c>
      <c r="F182">
        <v>2.84592030818336e-5</v>
      </c>
      <c r="G182">
        <v>0</v>
      </c>
      <c r="H182" t="s">
        <v>290</v>
      </c>
      <c r="I182" t="s">
        <v>290</v>
      </c>
      <c r="J182" t="s">
        <v>290</v>
      </c>
    </row>
    <row r="183" spans="1:10">
      <c r="A183">
        <v>182</v>
      </c>
      <c r="B183">
        <v>179</v>
      </c>
      <c r="C183">
        <v>180</v>
      </c>
      <c r="D183" t="s">
        <v>482</v>
      </c>
      <c r="E183">
        <v>6.95992126566125e-5</v>
      </c>
      <c r="F183">
        <v>2.84592075307375e-5</v>
      </c>
      <c r="G183">
        <v>0</v>
      </c>
      <c r="H183" t="s">
        <v>290</v>
      </c>
      <c r="I183" t="s">
        <v>290</v>
      </c>
      <c r="J183" t="s">
        <v>290</v>
      </c>
    </row>
    <row r="184" spans="1:10">
      <c r="A184">
        <v>183</v>
      </c>
      <c r="B184">
        <v>167</v>
      </c>
      <c r="C184">
        <v>168</v>
      </c>
      <c r="D184" t="s">
        <v>492</v>
      </c>
      <c r="E184">
        <v>6.95992126566125e-5</v>
      </c>
      <c r="F184">
        <v>2.84592075307375e-5</v>
      </c>
      <c r="G184">
        <v>0</v>
      </c>
      <c r="H184" t="s">
        <v>290</v>
      </c>
      <c r="I184" t="s">
        <v>290</v>
      </c>
      <c r="J184" t="s">
        <v>290</v>
      </c>
    </row>
    <row r="185" spans="1:10">
      <c r="A185">
        <v>184</v>
      </c>
      <c r="B185">
        <v>133</v>
      </c>
      <c r="C185">
        <v>134</v>
      </c>
      <c r="D185" t="s">
        <v>495</v>
      </c>
      <c r="E185">
        <v>6.95992115652189e-5</v>
      </c>
      <c r="F185">
        <v>2.84592056274134e-5</v>
      </c>
      <c r="G185">
        <v>0</v>
      </c>
      <c r="H185" t="s">
        <v>290</v>
      </c>
      <c r="I185" t="s">
        <v>290</v>
      </c>
      <c r="J185" t="s">
        <v>290</v>
      </c>
    </row>
    <row r="186" spans="1:10">
      <c r="A186">
        <v>185</v>
      </c>
      <c r="B186">
        <v>127</v>
      </c>
      <c r="C186">
        <v>128</v>
      </c>
      <c r="D186" t="s">
        <v>489</v>
      </c>
      <c r="E186">
        <v>6.9599211201421e-5</v>
      </c>
      <c r="F186">
        <v>2.84592055937851e-5</v>
      </c>
      <c r="G186">
        <v>0</v>
      </c>
      <c r="H186" t="s">
        <v>290</v>
      </c>
      <c r="I186" t="s">
        <v>290</v>
      </c>
      <c r="J186" t="s">
        <v>290</v>
      </c>
    </row>
    <row r="187" spans="1:10">
      <c r="A187">
        <v>186</v>
      </c>
      <c r="B187">
        <v>164</v>
      </c>
      <c r="C187">
        <v>165</v>
      </c>
      <c r="D187" t="s">
        <v>490</v>
      </c>
      <c r="E187">
        <v>6.95992082910379e-5</v>
      </c>
      <c r="F187">
        <v>2.8459198688059e-5</v>
      </c>
      <c r="G187">
        <v>0</v>
      </c>
      <c r="H187" t="s">
        <v>290</v>
      </c>
      <c r="I187" t="s">
        <v>290</v>
      </c>
      <c r="J187" t="s">
        <v>290</v>
      </c>
    </row>
    <row r="188" spans="1:10">
      <c r="A188">
        <v>187</v>
      </c>
      <c r="B188">
        <v>155</v>
      </c>
      <c r="C188">
        <v>156</v>
      </c>
      <c r="D188" t="s">
        <v>474</v>
      </c>
      <c r="E188">
        <v>6.95992057444528e-5</v>
      </c>
      <c r="F188">
        <v>2.84592065237192e-5</v>
      </c>
      <c r="G188">
        <v>0</v>
      </c>
      <c r="H188" t="s">
        <v>290</v>
      </c>
      <c r="I188" t="s">
        <v>290</v>
      </c>
      <c r="J188" t="s">
        <v>290</v>
      </c>
    </row>
    <row r="189" spans="1:10">
      <c r="A189">
        <v>188</v>
      </c>
      <c r="B189">
        <v>156</v>
      </c>
      <c r="C189">
        <v>157</v>
      </c>
      <c r="D189" t="s">
        <v>473</v>
      </c>
      <c r="E189">
        <v>6.95992057444528e-5</v>
      </c>
      <c r="F189">
        <v>2.84592065237192e-5</v>
      </c>
      <c r="G189">
        <v>0</v>
      </c>
      <c r="H189" t="s">
        <v>290</v>
      </c>
      <c r="I189" t="s">
        <v>290</v>
      </c>
      <c r="J189" t="s">
        <v>290</v>
      </c>
    </row>
    <row r="190" spans="1:10">
      <c r="A190">
        <v>189</v>
      </c>
      <c r="B190">
        <v>151</v>
      </c>
      <c r="C190">
        <v>152</v>
      </c>
      <c r="D190" t="s">
        <v>506</v>
      </c>
      <c r="E190">
        <v>6.95992035616655e-5</v>
      </c>
      <c r="F190">
        <v>2.84592012336378e-5</v>
      </c>
      <c r="G190">
        <v>0</v>
      </c>
      <c r="H190" t="s">
        <v>290</v>
      </c>
      <c r="I190" t="s">
        <v>290</v>
      </c>
      <c r="J190" t="s">
        <v>290</v>
      </c>
    </row>
    <row r="191" spans="1:10">
      <c r="A191">
        <v>190</v>
      </c>
      <c r="B191">
        <v>204</v>
      </c>
      <c r="C191">
        <v>205</v>
      </c>
      <c r="D191" t="s">
        <v>480</v>
      </c>
      <c r="E191">
        <v>6.95992006512824e-5</v>
      </c>
      <c r="F191">
        <v>2.84591743186416e-5</v>
      </c>
      <c r="G191">
        <v>0</v>
      </c>
      <c r="H191" t="s">
        <v>290</v>
      </c>
      <c r="I191" t="s">
        <v>290</v>
      </c>
      <c r="J191" t="s">
        <v>290</v>
      </c>
    </row>
    <row r="192" spans="1:10">
      <c r="A192">
        <v>191</v>
      </c>
      <c r="B192">
        <v>203</v>
      </c>
      <c r="C192">
        <v>204</v>
      </c>
      <c r="D192" t="s">
        <v>481</v>
      </c>
      <c r="E192">
        <v>6.95992006512824e-5</v>
      </c>
      <c r="F192">
        <v>2.84591743186416e-5</v>
      </c>
      <c r="G192">
        <v>0</v>
      </c>
      <c r="H192" t="s">
        <v>290</v>
      </c>
      <c r="I192" t="s">
        <v>290</v>
      </c>
      <c r="J192" t="s">
        <v>290</v>
      </c>
    </row>
    <row r="193" spans="1:10">
      <c r="A193">
        <v>192</v>
      </c>
      <c r="B193">
        <v>202</v>
      </c>
      <c r="C193">
        <v>203</v>
      </c>
      <c r="D193" t="s">
        <v>479</v>
      </c>
      <c r="E193">
        <v>6.95992006512824e-5</v>
      </c>
      <c r="F193">
        <v>2.84591743186416e-5</v>
      </c>
      <c r="G193">
        <v>0</v>
      </c>
      <c r="H193" t="s">
        <v>290</v>
      </c>
      <c r="I193" t="s">
        <v>290</v>
      </c>
      <c r="J193" t="s">
        <v>290</v>
      </c>
    </row>
    <row r="194" spans="1:10">
      <c r="A194">
        <v>193</v>
      </c>
      <c r="B194">
        <v>239</v>
      </c>
      <c r="C194">
        <v>240</v>
      </c>
      <c r="D194" t="s">
        <v>498</v>
      </c>
      <c r="E194">
        <v>6.9599198832293e-5</v>
      </c>
      <c r="F194">
        <v>2.84591988734002e-5</v>
      </c>
      <c r="G194">
        <v>0</v>
      </c>
      <c r="H194" t="s">
        <v>290</v>
      </c>
      <c r="I194" t="s">
        <v>290</v>
      </c>
      <c r="J194" t="s">
        <v>290</v>
      </c>
    </row>
    <row r="195" spans="1:10">
      <c r="A195">
        <v>194</v>
      </c>
      <c r="B195">
        <v>238</v>
      </c>
      <c r="C195">
        <v>239</v>
      </c>
      <c r="D195" t="s">
        <v>497</v>
      </c>
      <c r="E195">
        <v>6.9599198832293e-5</v>
      </c>
      <c r="F195">
        <v>2.84591988734002e-5</v>
      </c>
      <c r="G195">
        <v>0</v>
      </c>
      <c r="H195" t="s">
        <v>290</v>
      </c>
      <c r="I195" t="s">
        <v>290</v>
      </c>
      <c r="J195" t="s">
        <v>290</v>
      </c>
    </row>
    <row r="196" spans="1:10">
      <c r="A196">
        <v>195</v>
      </c>
      <c r="B196">
        <v>240</v>
      </c>
      <c r="C196">
        <v>241</v>
      </c>
      <c r="D196" t="s">
        <v>499</v>
      </c>
      <c r="E196">
        <v>6.9599198832293e-5</v>
      </c>
      <c r="F196">
        <v>2.84591988734002e-5</v>
      </c>
      <c r="G196">
        <v>0</v>
      </c>
      <c r="H196" t="s">
        <v>290</v>
      </c>
      <c r="I196" t="s">
        <v>290</v>
      </c>
      <c r="J196" t="s">
        <v>290</v>
      </c>
    </row>
    <row r="197" spans="1:10">
      <c r="A197">
        <v>196</v>
      </c>
      <c r="B197">
        <v>200</v>
      </c>
      <c r="C197">
        <v>201</v>
      </c>
      <c r="D197" t="s">
        <v>496</v>
      </c>
      <c r="E197">
        <v>6.95991984684952e-5</v>
      </c>
      <c r="F197">
        <v>2.84591711980402e-5</v>
      </c>
      <c r="G197">
        <v>0</v>
      </c>
      <c r="H197" t="s">
        <v>290</v>
      </c>
      <c r="I197" t="s">
        <v>290</v>
      </c>
      <c r="J197" t="s">
        <v>290</v>
      </c>
    </row>
    <row r="198" spans="1:10">
      <c r="A198">
        <v>197</v>
      </c>
      <c r="B198">
        <v>80</v>
      </c>
      <c r="C198">
        <v>81</v>
      </c>
      <c r="D198" t="s">
        <v>517</v>
      </c>
      <c r="E198">
        <v>6.95991977408994e-5</v>
      </c>
      <c r="F198">
        <v>2.84591969700749e-5</v>
      </c>
      <c r="G198">
        <v>0</v>
      </c>
      <c r="H198" t="s">
        <v>290</v>
      </c>
      <c r="I198" t="s">
        <v>290</v>
      </c>
      <c r="J198" t="s">
        <v>290</v>
      </c>
    </row>
    <row r="199" spans="1:10">
      <c r="A199">
        <v>198</v>
      </c>
      <c r="B199">
        <v>81</v>
      </c>
      <c r="C199">
        <v>82</v>
      </c>
      <c r="D199" t="s">
        <v>516</v>
      </c>
      <c r="E199">
        <v>6.95991977408994e-5</v>
      </c>
      <c r="F199">
        <v>2.84591969700749e-5</v>
      </c>
      <c r="G199">
        <v>0</v>
      </c>
      <c r="H199" t="s">
        <v>290</v>
      </c>
      <c r="I199" t="s">
        <v>290</v>
      </c>
      <c r="J199" t="s">
        <v>290</v>
      </c>
    </row>
    <row r="200" spans="1:10">
      <c r="A200">
        <v>199</v>
      </c>
      <c r="B200">
        <v>170</v>
      </c>
      <c r="C200">
        <v>171</v>
      </c>
      <c r="D200" t="s">
        <v>511</v>
      </c>
      <c r="E200">
        <v>6.959919592191e-5</v>
      </c>
      <c r="F200">
        <v>2.84591919676711e-5</v>
      </c>
      <c r="G200">
        <v>0</v>
      </c>
      <c r="H200" t="s">
        <v>290</v>
      </c>
      <c r="I200" t="s">
        <v>290</v>
      </c>
      <c r="J200" t="s">
        <v>290</v>
      </c>
    </row>
    <row r="201" spans="1:10">
      <c r="A201">
        <v>200</v>
      </c>
      <c r="B201">
        <v>171</v>
      </c>
      <c r="C201">
        <v>172</v>
      </c>
      <c r="D201" t="s">
        <v>508</v>
      </c>
      <c r="E201">
        <v>6.959919592191e-5</v>
      </c>
      <c r="F201">
        <v>2.84591919676711e-5</v>
      </c>
      <c r="G201">
        <v>0</v>
      </c>
      <c r="H201" t="s">
        <v>290</v>
      </c>
      <c r="I201" t="s">
        <v>290</v>
      </c>
      <c r="J201" t="s">
        <v>290</v>
      </c>
    </row>
    <row r="202" spans="1:10">
      <c r="A202">
        <v>201</v>
      </c>
      <c r="B202">
        <v>176</v>
      </c>
      <c r="C202">
        <v>177</v>
      </c>
      <c r="D202" t="s">
        <v>512</v>
      </c>
      <c r="E202">
        <v>6.959919592191e-5</v>
      </c>
      <c r="F202">
        <v>2.84591919676711e-5</v>
      </c>
      <c r="G202">
        <v>0</v>
      </c>
      <c r="H202" t="s">
        <v>290</v>
      </c>
      <c r="I202" t="s">
        <v>290</v>
      </c>
      <c r="J202" t="s">
        <v>290</v>
      </c>
    </row>
    <row r="203" spans="1:10">
      <c r="A203">
        <v>202</v>
      </c>
      <c r="B203">
        <v>172</v>
      </c>
      <c r="C203">
        <v>173</v>
      </c>
      <c r="D203" t="s">
        <v>514</v>
      </c>
      <c r="E203">
        <v>6.959919592191e-5</v>
      </c>
      <c r="F203">
        <v>2.84591919676711e-5</v>
      </c>
      <c r="G203">
        <v>0</v>
      </c>
      <c r="H203" t="s">
        <v>290</v>
      </c>
      <c r="I203" t="s">
        <v>290</v>
      </c>
      <c r="J203" t="s">
        <v>290</v>
      </c>
    </row>
    <row r="204" spans="1:10">
      <c r="A204">
        <v>203</v>
      </c>
      <c r="B204">
        <v>173</v>
      </c>
      <c r="C204">
        <v>174</v>
      </c>
      <c r="D204" t="s">
        <v>509</v>
      </c>
      <c r="E204">
        <v>6.959919592191e-5</v>
      </c>
      <c r="F204">
        <v>2.84591919676711e-5</v>
      </c>
      <c r="G204">
        <v>0</v>
      </c>
      <c r="H204" t="s">
        <v>290</v>
      </c>
      <c r="I204" t="s">
        <v>290</v>
      </c>
      <c r="J204" t="s">
        <v>290</v>
      </c>
    </row>
    <row r="205" spans="1:10">
      <c r="A205">
        <v>204</v>
      </c>
      <c r="B205">
        <v>175</v>
      </c>
      <c r="C205">
        <v>176</v>
      </c>
      <c r="D205" t="s">
        <v>507</v>
      </c>
      <c r="E205">
        <v>6.959919592191e-5</v>
      </c>
      <c r="F205">
        <v>2.84591919676711e-5</v>
      </c>
      <c r="G205">
        <v>0</v>
      </c>
      <c r="H205" t="s">
        <v>290</v>
      </c>
      <c r="I205" t="s">
        <v>290</v>
      </c>
      <c r="J205" t="s">
        <v>290</v>
      </c>
    </row>
    <row r="206" spans="1:10">
      <c r="A206">
        <v>205</v>
      </c>
      <c r="B206">
        <v>174</v>
      </c>
      <c r="C206">
        <v>175</v>
      </c>
      <c r="D206" t="s">
        <v>510</v>
      </c>
      <c r="E206">
        <v>6.959919592191e-5</v>
      </c>
      <c r="F206">
        <v>2.84591919676711e-5</v>
      </c>
      <c r="G206">
        <v>0</v>
      </c>
      <c r="H206" t="s">
        <v>290</v>
      </c>
      <c r="I206" t="s">
        <v>290</v>
      </c>
      <c r="J206" t="s">
        <v>290</v>
      </c>
    </row>
    <row r="207" spans="1:10">
      <c r="A207">
        <v>206</v>
      </c>
      <c r="B207">
        <v>249</v>
      </c>
      <c r="C207">
        <v>250</v>
      </c>
      <c r="D207" t="s">
        <v>515</v>
      </c>
      <c r="E207">
        <v>6.95991951943142e-5</v>
      </c>
      <c r="F207">
        <v>2.84591642586758e-5</v>
      </c>
      <c r="G207">
        <v>0</v>
      </c>
      <c r="H207" t="s">
        <v>290</v>
      </c>
      <c r="I207" t="s">
        <v>290</v>
      </c>
      <c r="J207" t="s">
        <v>290</v>
      </c>
    </row>
    <row r="208" spans="1:10">
      <c r="A208">
        <v>207</v>
      </c>
      <c r="B208">
        <v>248</v>
      </c>
      <c r="C208">
        <v>249</v>
      </c>
      <c r="D208" t="s">
        <v>513</v>
      </c>
      <c r="E208">
        <v>6.95991951943142e-5</v>
      </c>
      <c r="F208">
        <v>2.84591642586758e-5</v>
      </c>
      <c r="G208">
        <v>0</v>
      </c>
      <c r="H208" t="s">
        <v>290</v>
      </c>
      <c r="I208" t="s">
        <v>290</v>
      </c>
      <c r="J208" t="s">
        <v>290</v>
      </c>
    </row>
    <row r="209" spans="1:10">
      <c r="A209">
        <v>208</v>
      </c>
      <c r="B209">
        <v>75</v>
      </c>
      <c r="C209">
        <v>76</v>
      </c>
      <c r="D209" t="s">
        <v>503</v>
      </c>
      <c r="E209">
        <v>6.95991941029206e-5</v>
      </c>
      <c r="F209">
        <v>2.84592076510303e-5</v>
      </c>
      <c r="G209">
        <v>0</v>
      </c>
      <c r="H209" t="s">
        <v>290</v>
      </c>
      <c r="I209" t="s">
        <v>290</v>
      </c>
      <c r="J209" t="s">
        <v>290</v>
      </c>
    </row>
    <row r="210" spans="1:10">
      <c r="A210">
        <v>209</v>
      </c>
      <c r="B210">
        <v>74</v>
      </c>
      <c r="C210">
        <v>75</v>
      </c>
      <c r="D210" t="s">
        <v>505</v>
      </c>
      <c r="E210">
        <v>6.95991941029206e-5</v>
      </c>
      <c r="F210">
        <v>2.84592076510303e-5</v>
      </c>
      <c r="G210">
        <v>0</v>
      </c>
      <c r="H210" t="s">
        <v>290</v>
      </c>
      <c r="I210" t="s">
        <v>290</v>
      </c>
      <c r="J210" t="s">
        <v>290</v>
      </c>
    </row>
    <row r="211" spans="1:10">
      <c r="A211">
        <v>210</v>
      </c>
      <c r="B211">
        <v>187</v>
      </c>
      <c r="C211">
        <v>188</v>
      </c>
      <c r="D211" t="s">
        <v>494</v>
      </c>
      <c r="E211">
        <v>6.95991922839312e-5</v>
      </c>
      <c r="F211">
        <v>2.84591703232299e-5</v>
      </c>
      <c r="G211">
        <v>0</v>
      </c>
      <c r="H211" t="s">
        <v>290</v>
      </c>
      <c r="I211" t="s">
        <v>290</v>
      </c>
      <c r="J211" t="s">
        <v>290</v>
      </c>
    </row>
    <row r="212" spans="1:10">
      <c r="A212">
        <v>211</v>
      </c>
      <c r="B212">
        <v>192</v>
      </c>
      <c r="C212">
        <v>193</v>
      </c>
      <c r="D212" t="s">
        <v>478</v>
      </c>
      <c r="E212">
        <v>6.95991922839312e-5</v>
      </c>
      <c r="F212">
        <v>2.84591703232299e-5</v>
      </c>
      <c r="G212">
        <v>0</v>
      </c>
      <c r="H212" t="s">
        <v>290</v>
      </c>
      <c r="I212" t="s">
        <v>290</v>
      </c>
      <c r="J212" t="s">
        <v>290</v>
      </c>
    </row>
    <row r="213" spans="1:10">
      <c r="A213">
        <v>212</v>
      </c>
      <c r="B213">
        <v>191</v>
      </c>
      <c r="C213">
        <v>192</v>
      </c>
      <c r="D213" t="s">
        <v>476</v>
      </c>
      <c r="E213">
        <v>6.95991922839312e-5</v>
      </c>
      <c r="F213">
        <v>2.84591703232299e-5</v>
      </c>
      <c r="G213">
        <v>0</v>
      </c>
      <c r="H213" t="s">
        <v>290</v>
      </c>
      <c r="I213" t="s">
        <v>290</v>
      </c>
      <c r="J213" t="s">
        <v>290</v>
      </c>
    </row>
    <row r="214" spans="1:10">
      <c r="A214">
        <v>213</v>
      </c>
      <c r="B214">
        <v>196</v>
      </c>
      <c r="C214">
        <v>197</v>
      </c>
      <c r="D214" t="s">
        <v>475</v>
      </c>
      <c r="E214">
        <v>6.95991919201333e-5</v>
      </c>
      <c r="F214">
        <v>2.84591879435557e-5</v>
      </c>
      <c r="G214">
        <v>0</v>
      </c>
      <c r="H214" t="s">
        <v>290</v>
      </c>
      <c r="I214" t="s">
        <v>290</v>
      </c>
      <c r="J214" t="s">
        <v>290</v>
      </c>
    </row>
    <row r="215" spans="1:10">
      <c r="A215">
        <v>214</v>
      </c>
      <c r="B215">
        <v>252</v>
      </c>
      <c r="C215">
        <v>253</v>
      </c>
      <c r="D215" t="s">
        <v>501</v>
      </c>
      <c r="E215">
        <v>6.95991908287397e-5</v>
      </c>
      <c r="F215">
        <v>2.84591681641241e-5</v>
      </c>
      <c r="G215">
        <v>0</v>
      </c>
      <c r="H215" t="s">
        <v>290</v>
      </c>
      <c r="I215" t="s">
        <v>290</v>
      </c>
      <c r="J215" t="s">
        <v>290</v>
      </c>
    </row>
    <row r="216" spans="1:10">
      <c r="A216">
        <v>215</v>
      </c>
      <c r="B216">
        <v>246</v>
      </c>
      <c r="C216">
        <v>247</v>
      </c>
      <c r="D216" t="s">
        <v>504</v>
      </c>
      <c r="E216">
        <v>6.95991904649418e-5</v>
      </c>
      <c r="F216">
        <v>2.84591668042552e-5</v>
      </c>
      <c r="G216">
        <v>0</v>
      </c>
      <c r="H216" t="s">
        <v>290</v>
      </c>
      <c r="I216" t="s">
        <v>290</v>
      </c>
      <c r="J216" t="s">
        <v>290</v>
      </c>
    </row>
    <row r="217" spans="1:10">
      <c r="A217">
        <v>216</v>
      </c>
      <c r="B217">
        <v>245</v>
      </c>
      <c r="C217">
        <v>246</v>
      </c>
      <c r="D217" t="s">
        <v>502</v>
      </c>
      <c r="E217">
        <v>6.95991904649418e-5</v>
      </c>
      <c r="F217">
        <v>2.84591668042552e-5</v>
      </c>
      <c r="G217">
        <v>0</v>
      </c>
      <c r="H217" t="s">
        <v>290</v>
      </c>
      <c r="I217" t="s">
        <v>290</v>
      </c>
      <c r="J217" t="s">
        <v>290</v>
      </c>
    </row>
    <row r="218" spans="1:10">
      <c r="A218">
        <v>217</v>
      </c>
      <c r="B218">
        <v>182</v>
      </c>
      <c r="C218">
        <v>183</v>
      </c>
      <c r="D218" t="s">
        <v>488</v>
      </c>
      <c r="E218">
        <v>6.95991875545587e-5</v>
      </c>
      <c r="F218">
        <v>2.84591728688082e-5</v>
      </c>
      <c r="G218">
        <v>0</v>
      </c>
      <c r="H218" t="s">
        <v>290</v>
      </c>
      <c r="I218" t="s">
        <v>290</v>
      </c>
      <c r="J218" t="s">
        <v>290</v>
      </c>
    </row>
    <row r="219" spans="1:10">
      <c r="A219">
        <v>218</v>
      </c>
      <c r="B219">
        <v>141</v>
      </c>
      <c r="C219">
        <v>142</v>
      </c>
      <c r="D219" t="s">
        <v>487</v>
      </c>
      <c r="E219">
        <v>6.95991853717714e-5</v>
      </c>
      <c r="F219">
        <v>2.8459196481737e-5</v>
      </c>
      <c r="G219">
        <v>0</v>
      </c>
      <c r="H219" t="s">
        <v>290</v>
      </c>
      <c r="I219" t="s">
        <v>290</v>
      </c>
      <c r="J219" t="s">
        <v>290</v>
      </c>
    </row>
    <row r="220" spans="1:10">
      <c r="A220">
        <v>219</v>
      </c>
      <c r="B220">
        <v>140</v>
      </c>
      <c r="C220">
        <v>141</v>
      </c>
      <c r="D220" t="s">
        <v>486</v>
      </c>
      <c r="E220">
        <v>6.95991853717714e-5</v>
      </c>
      <c r="F220">
        <v>2.8459196481737e-5</v>
      </c>
      <c r="G220">
        <v>0</v>
      </c>
      <c r="H220" t="s">
        <v>290</v>
      </c>
      <c r="I220" t="s">
        <v>290</v>
      </c>
      <c r="J220" t="s">
        <v>290</v>
      </c>
    </row>
    <row r="221" spans="1:10">
      <c r="A221">
        <v>220</v>
      </c>
      <c r="B221">
        <v>144</v>
      </c>
      <c r="C221">
        <v>145</v>
      </c>
      <c r="D221" t="s">
        <v>500</v>
      </c>
      <c r="E221">
        <v>6.95991853717714e-5</v>
      </c>
      <c r="F221">
        <v>2.8459196481737e-5</v>
      </c>
      <c r="G221">
        <v>0</v>
      </c>
      <c r="H221" t="s">
        <v>290</v>
      </c>
      <c r="I221" t="s">
        <v>290</v>
      </c>
      <c r="J221" t="s">
        <v>290</v>
      </c>
    </row>
    <row r="222" spans="1:10">
      <c r="A222">
        <v>221</v>
      </c>
      <c r="B222">
        <v>55</v>
      </c>
      <c r="C222">
        <v>56</v>
      </c>
      <c r="D222" t="s">
        <v>531</v>
      </c>
      <c r="E222">
        <v>6.93832515025861e-5</v>
      </c>
      <c r="F222">
        <v>3.77602588240501e-5</v>
      </c>
      <c r="G222">
        <v>0</v>
      </c>
      <c r="H222" t="s">
        <v>290</v>
      </c>
      <c r="I222" t="s">
        <v>290</v>
      </c>
      <c r="J222" t="s">
        <v>290</v>
      </c>
    </row>
    <row r="223" spans="1:10">
      <c r="A223">
        <v>222</v>
      </c>
      <c r="B223">
        <v>57</v>
      </c>
      <c r="C223">
        <v>58</v>
      </c>
      <c r="D223" t="s">
        <v>530</v>
      </c>
      <c r="E223">
        <v>6.93832434990327e-5</v>
      </c>
      <c r="F223">
        <v>3.77602555082038e-5</v>
      </c>
      <c r="G223">
        <v>0</v>
      </c>
      <c r="H223" t="s">
        <v>290</v>
      </c>
      <c r="I223" t="s">
        <v>290</v>
      </c>
      <c r="J223" t="s">
        <v>290</v>
      </c>
    </row>
    <row r="224" spans="1:10">
      <c r="A224">
        <v>223</v>
      </c>
      <c r="B224">
        <v>27</v>
      </c>
      <c r="C224">
        <v>28</v>
      </c>
      <c r="D224" t="s">
        <v>532</v>
      </c>
      <c r="E224">
        <v>6.78787038850714e-5</v>
      </c>
      <c r="F224">
        <v>5.49039604463051e-5</v>
      </c>
      <c r="G224">
        <v>0</v>
      </c>
      <c r="H224" t="s">
        <v>290</v>
      </c>
      <c r="I224" t="s">
        <v>290</v>
      </c>
      <c r="J224" t="s">
        <v>290</v>
      </c>
    </row>
    <row r="225" spans="1:10">
      <c r="A225">
        <v>224</v>
      </c>
      <c r="B225">
        <v>268</v>
      </c>
      <c r="C225">
        <v>269</v>
      </c>
      <c r="D225" t="s">
        <v>533</v>
      </c>
      <c r="E225">
        <v>5.97827909587068e-5</v>
      </c>
      <c r="F225">
        <v>3.8889233002598e-5</v>
      </c>
      <c r="G225">
        <v>0</v>
      </c>
      <c r="H225" t="s">
        <v>290</v>
      </c>
      <c r="I225" t="s">
        <v>290</v>
      </c>
      <c r="J225" t="s">
        <v>290</v>
      </c>
    </row>
    <row r="226" spans="1:10">
      <c r="A226">
        <v>225</v>
      </c>
      <c r="B226">
        <v>66</v>
      </c>
      <c r="C226">
        <v>67</v>
      </c>
      <c r="D226" t="s">
        <v>535</v>
      </c>
      <c r="E226">
        <v>5.09259594764444e-5</v>
      </c>
      <c r="F226">
        <v>2.39670736671425e-5</v>
      </c>
      <c r="G226">
        <v>0</v>
      </c>
      <c r="H226" t="s">
        <v>290</v>
      </c>
      <c r="I226" t="s">
        <v>290</v>
      </c>
      <c r="J226" t="s">
        <v>290</v>
      </c>
    </row>
    <row r="227" spans="1:10">
      <c r="A227">
        <v>226</v>
      </c>
      <c r="B227">
        <v>67</v>
      </c>
      <c r="C227">
        <v>68</v>
      </c>
      <c r="D227" t="s">
        <v>536</v>
      </c>
      <c r="E227">
        <v>5.09259594764444e-5</v>
      </c>
      <c r="F227">
        <v>2.39670736671425e-5</v>
      </c>
      <c r="G227">
        <v>0</v>
      </c>
      <c r="H227" t="s">
        <v>290</v>
      </c>
      <c r="I227" t="s">
        <v>290</v>
      </c>
      <c r="J227" t="s">
        <v>290</v>
      </c>
    </row>
    <row r="228" spans="1:10">
      <c r="A228">
        <v>227</v>
      </c>
      <c r="B228">
        <v>0</v>
      </c>
      <c r="C228">
        <v>1</v>
      </c>
      <c r="D228" t="s">
        <v>534</v>
      </c>
      <c r="E228">
        <v>4.94245063237031e-5</v>
      </c>
      <c r="F228">
        <v>2.25772178290502e-5</v>
      </c>
      <c r="G228">
        <v>0</v>
      </c>
      <c r="H228" t="s">
        <v>290</v>
      </c>
      <c r="I228" t="s">
        <v>290</v>
      </c>
      <c r="J228" t="s">
        <v>290</v>
      </c>
    </row>
    <row r="229" spans="1:10">
      <c r="A229">
        <v>228</v>
      </c>
      <c r="B229">
        <v>112</v>
      </c>
      <c r="C229">
        <v>113</v>
      </c>
      <c r="D229" t="s">
        <v>539</v>
      </c>
      <c r="E229">
        <v>4.72391975563369e-5</v>
      </c>
      <c r="F229">
        <v>2.95231859580714e-5</v>
      </c>
      <c r="G229">
        <v>0</v>
      </c>
      <c r="H229" t="s">
        <v>290</v>
      </c>
      <c r="I229" t="s">
        <v>290</v>
      </c>
      <c r="J229" t="s">
        <v>290</v>
      </c>
    </row>
    <row r="230" spans="1:10">
      <c r="A230">
        <v>229</v>
      </c>
      <c r="B230">
        <v>101</v>
      </c>
      <c r="C230">
        <v>102</v>
      </c>
      <c r="D230" t="s">
        <v>538</v>
      </c>
      <c r="E230">
        <v>4.72391964649432e-5</v>
      </c>
      <c r="F230">
        <v>2.95231855511049e-5</v>
      </c>
      <c r="G230">
        <v>0</v>
      </c>
      <c r="H230" t="s">
        <v>290</v>
      </c>
      <c r="I230" t="s">
        <v>290</v>
      </c>
      <c r="J230" t="s">
        <v>290</v>
      </c>
    </row>
    <row r="231" spans="1:10">
      <c r="A231">
        <v>230</v>
      </c>
      <c r="B231">
        <v>30</v>
      </c>
      <c r="C231">
        <v>31</v>
      </c>
      <c r="D231" t="s">
        <v>540</v>
      </c>
      <c r="E231">
        <v>4.72391902803793e-5</v>
      </c>
      <c r="F231">
        <v>2.95231716235439e-5</v>
      </c>
      <c r="G231">
        <v>0</v>
      </c>
      <c r="H231" t="s">
        <v>290</v>
      </c>
      <c r="I231" t="s">
        <v>290</v>
      </c>
      <c r="J231" t="s">
        <v>290</v>
      </c>
    </row>
    <row r="232" spans="1:10">
      <c r="A232">
        <v>231</v>
      </c>
      <c r="B232">
        <v>99</v>
      </c>
      <c r="C232">
        <v>100</v>
      </c>
      <c r="D232" t="s">
        <v>541</v>
      </c>
      <c r="E232">
        <v>4.49707002189825e-5</v>
      </c>
      <c r="F232">
        <v>3.7612689315247e-5</v>
      </c>
      <c r="G232">
        <v>0</v>
      </c>
      <c r="H232" t="s">
        <v>290</v>
      </c>
      <c r="I232" t="s">
        <v>290</v>
      </c>
      <c r="J232" t="s">
        <v>290</v>
      </c>
    </row>
    <row r="233" spans="1:10">
      <c r="A233">
        <v>232</v>
      </c>
      <c r="B233">
        <v>97</v>
      </c>
      <c r="C233">
        <v>98</v>
      </c>
      <c r="D233" t="s">
        <v>542</v>
      </c>
      <c r="E233">
        <v>4.49706982180942e-5</v>
      </c>
      <c r="F233">
        <v>3.76126908292318e-5</v>
      </c>
      <c r="G233">
        <v>0</v>
      </c>
      <c r="H233" t="s">
        <v>290</v>
      </c>
      <c r="I233" t="s">
        <v>290</v>
      </c>
      <c r="J233" t="s">
        <v>290</v>
      </c>
    </row>
    <row r="234" spans="1:10">
      <c r="A234">
        <v>233</v>
      </c>
      <c r="B234">
        <v>289</v>
      </c>
      <c r="C234">
        <v>290</v>
      </c>
      <c r="D234" t="s">
        <v>553</v>
      </c>
      <c r="E234">
        <v>4.49706976723974e-5</v>
      </c>
      <c r="F234">
        <v>3.76126926157932e-5</v>
      </c>
      <c r="G234">
        <v>0</v>
      </c>
      <c r="H234" t="s">
        <v>290</v>
      </c>
      <c r="I234" t="s">
        <v>290</v>
      </c>
      <c r="J234" t="s">
        <v>290</v>
      </c>
    </row>
    <row r="235" spans="1:10">
      <c r="A235">
        <v>234</v>
      </c>
      <c r="B235">
        <v>287</v>
      </c>
      <c r="C235">
        <v>288</v>
      </c>
      <c r="D235" t="s">
        <v>550</v>
      </c>
      <c r="E235">
        <v>4.49706976723974e-5</v>
      </c>
      <c r="F235">
        <v>3.76126926157932e-5</v>
      </c>
      <c r="G235">
        <v>0</v>
      </c>
      <c r="H235" t="s">
        <v>290</v>
      </c>
      <c r="I235" t="s">
        <v>290</v>
      </c>
      <c r="J235" t="s">
        <v>290</v>
      </c>
    </row>
    <row r="236" spans="1:10">
      <c r="A236">
        <v>235</v>
      </c>
      <c r="B236">
        <v>275</v>
      </c>
      <c r="C236">
        <v>276</v>
      </c>
      <c r="D236" t="s">
        <v>547</v>
      </c>
      <c r="E236">
        <v>4.49706976723974e-5</v>
      </c>
      <c r="F236">
        <v>3.76126926157932e-5</v>
      </c>
      <c r="G236">
        <v>0</v>
      </c>
      <c r="H236" t="s">
        <v>290</v>
      </c>
      <c r="I236" t="s">
        <v>290</v>
      </c>
      <c r="J236" t="s">
        <v>290</v>
      </c>
    </row>
    <row r="237" spans="1:10">
      <c r="A237">
        <v>236</v>
      </c>
      <c r="B237">
        <v>272</v>
      </c>
      <c r="C237">
        <v>273</v>
      </c>
      <c r="D237" t="s">
        <v>546</v>
      </c>
      <c r="E237">
        <v>4.49706976723974e-5</v>
      </c>
      <c r="F237">
        <v>3.76126926157932e-5</v>
      </c>
      <c r="G237">
        <v>0</v>
      </c>
      <c r="H237" t="s">
        <v>290</v>
      </c>
      <c r="I237" t="s">
        <v>290</v>
      </c>
      <c r="J237" t="s">
        <v>290</v>
      </c>
    </row>
    <row r="238" spans="1:10">
      <c r="A238">
        <v>237</v>
      </c>
      <c r="B238">
        <v>271</v>
      </c>
      <c r="C238">
        <v>272</v>
      </c>
      <c r="D238" t="s">
        <v>545</v>
      </c>
      <c r="E238">
        <v>4.49706976723974e-5</v>
      </c>
      <c r="F238">
        <v>3.76126926157932e-5</v>
      </c>
      <c r="G238">
        <v>0</v>
      </c>
      <c r="H238" t="s">
        <v>290</v>
      </c>
      <c r="I238" t="s">
        <v>290</v>
      </c>
      <c r="J238" t="s">
        <v>290</v>
      </c>
    </row>
    <row r="239" spans="1:10">
      <c r="A239">
        <v>238</v>
      </c>
      <c r="B239">
        <v>286</v>
      </c>
      <c r="C239">
        <v>287</v>
      </c>
      <c r="D239" t="s">
        <v>551</v>
      </c>
      <c r="E239">
        <v>4.49706976723974e-5</v>
      </c>
      <c r="F239">
        <v>3.76126926157932e-5</v>
      </c>
      <c r="G239">
        <v>0</v>
      </c>
      <c r="H239" t="s">
        <v>290</v>
      </c>
      <c r="I239" t="s">
        <v>290</v>
      </c>
      <c r="J239" t="s">
        <v>290</v>
      </c>
    </row>
    <row r="240" spans="1:10">
      <c r="A240">
        <v>239</v>
      </c>
      <c r="B240">
        <v>280</v>
      </c>
      <c r="C240">
        <v>281</v>
      </c>
      <c r="D240" t="s">
        <v>552</v>
      </c>
      <c r="E240">
        <v>4.49706976723974e-5</v>
      </c>
      <c r="F240">
        <v>3.76126926157932e-5</v>
      </c>
      <c r="G240">
        <v>0</v>
      </c>
      <c r="H240" t="s">
        <v>290</v>
      </c>
      <c r="I240" t="s">
        <v>290</v>
      </c>
      <c r="J240" t="s">
        <v>290</v>
      </c>
    </row>
    <row r="241" spans="1:10">
      <c r="A241">
        <v>240</v>
      </c>
      <c r="B241">
        <v>270</v>
      </c>
      <c r="C241">
        <v>271</v>
      </c>
      <c r="D241" t="s">
        <v>549</v>
      </c>
      <c r="E241">
        <v>4.49706976723974e-5</v>
      </c>
      <c r="F241">
        <v>3.76126926157932e-5</v>
      </c>
      <c r="G241">
        <v>0</v>
      </c>
      <c r="H241" t="s">
        <v>290</v>
      </c>
      <c r="I241" t="s">
        <v>290</v>
      </c>
      <c r="J241" t="s">
        <v>290</v>
      </c>
    </row>
    <row r="242" spans="1:10">
      <c r="A242">
        <v>241</v>
      </c>
      <c r="B242">
        <v>276</v>
      </c>
      <c r="C242">
        <v>277</v>
      </c>
      <c r="D242" t="s">
        <v>548</v>
      </c>
      <c r="E242">
        <v>4.49706976723974e-5</v>
      </c>
      <c r="F242">
        <v>3.76126926157932e-5</v>
      </c>
      <c r="G242">
        <v>0</v>
      </c>
      <c r="H242" t="s">
        <v>290</v>
      </c>
      <c r="I242" t="s">
        <v>290</v>
      </c>
      <c r="J242" t="s">
        <v>290</v>
      </c>
    </row>
    <row r="243" spans="1:10">
      <c r="A243">
        <v>242</v>
      </c>
      <c r="B243">
        <v>269</v>
      </c>
      <c r="C243">
        <v>270</v>
      </c>
      <c r="D243" t="s">
        <v>544</v>
      </c>
      <c r="E243">
        <v>4.49706976723974e-5</v>
      </c>
      <c r="F243">
        <v>3.76126926157932e-5</v>
      </c>
      <c r="G243">
        <v>0</v>
      </c>
      <c r="H243" t="s">
        <v>290</v>
      </c>
      <c r="I243" t="s">
        <v>290</v>
      </c>
      <c r="J243" t="s">
        <v>290</v>
      </c>
    </row>
    <row r="244" spans="1:10">
      <c r="A244">
        <v>243</v>
      </c>
      <c r="B244">
        <v>291</v>
      </c>
      <c r="C244">
        <v>292</v>
      </c>
      <c r="D244" t="s">
        <v>543</v>
      </c>
      <c r="E244">
        <v>4.4970695671509e-5</v>
      </c>
      <c r="F244">
        <v>3.76126939558848e-5</v>
      </c>
      <c r="G244">
        <v>0</v>
      </c>
      <c r="H244" t="s">
        <v>290</v>
      </c>
      <c r="I244" t="s">
        <v>290</v>
      </c>
      <c r="J244" t="s">
        <v>290</v>
      </c>
    </row>
    <row r="245" spans="1:10">
      <c r="A245">
        <v>244</v>
      </c>
      <c r="B245">
        <v>96</v>
      </c>
      <c r="C245">
        <v>97</v>
      </c>
      <c r="D245" t="s">
        <v>554</v>
      </c>
      <c r="E245">
        <v>4.40643199908663e-5</v>
      </c>
      <c r="F245">
        <v>2.14583775340538e-5</v>
      </c>
      <c r="G245">
        <v>0</v>
      </c>
      <c r="H245" t="s">
        <v>290</v>
      </c>
      <c r="I245" t="s">
        <v>290</v>
      </c>
      <c r="J245" t="s">
        <v>290</v>
      </c>
    </row>
    <row r="246" spans="1:10">
      <c r="A246">
        <v>245</v>
      </c>
      <c r="B246">
        <v>232</v>
      </c>
      <c r="C246">
        <v>233</v>
      </c>
      <c r="D246" t="s">
        <v>537</v>
      </c>
      <c r="E246">
        <v>3.65480133041274e-5</v>
      </c>
      <c r="F246">
        <v>1.83690632070043e-5</v>
      </c>
      <c r="G246">
        <v>0</v>
      </c>
      <c r="H246" t="s">
        <v>290</v>
      </c>
      <c r="I246" t="s">
        <v>290</v>
      </c>
      <c r="J246" t="s">
        <v>290</v>
      </c>
    </row>
    <row r="247" spans="1:10">
      <c r="A247">
        <v>246</v>
      </c>
      <c r="B247">
        <v>70</v>
      </c>
      <c r="C247">
        <v>71</v>
      </c>
      <c r="D247" t="s">
        <v>555</v>
      </c>
      <c r="E247">
        <v>3.41014594596345e-5</v>
      </c>
      <c r="F247">
        <v>1.51887395608612e-5</v>
      </c>
      <c r="G247">
        <v>0</v>
      </c>
      <c r="H247" t="s">
        <v>290</v>
      </c>
      <c r="I247" t="s">
        <v>290</v>
      </c>
      <c r="J247" t="s">
        <v>290</v>
      </c>
    </row>
    <row r="248" spans="1:10">
      <c r="A248">
        <v>247</v>
      </c>
      <c r="B248">
        <v>28</v>
      </c>
      <c r="C248">
        <v>29</v>
      </c>
      <c r="D248" t="s">
        <v>558</v>
      </c>
      <c r="E248">
        <v>2.79990003946296e-5</v>
      </c>
      <c r="F248">
        <v>1.88937896048394e-5</v>
      </c>
      <c r="G248">
        <v>0</v>
      </c>
      <c r="H248" t="s">
        <v>290</v>
      </c>
      <c r="I248" t="s">
        <v>290</v>
      </c>
      <c r="J248" t="s">
        <v>290</v>
      </c>
    </row>
    <row r="249" spans="1:10">
      <c r="A249">
        <v>248</v>
      </c>
      <c r="B249">
        <v>85</v>
      </c>
      <c r="C249">
        <v>86</v>
      </c>
      <c r="D249" t="s">
        <v>561</v>
      </c>
      <c r="E249">
        <v>2.54590689110046e-5</v>
      </c>
      <c r="F249">
        <v>1.44585392531191e-5</v>
      </c>
      <c r="G249">
        <v>0</v>
      </c>
      <c r="H249" t="s">
        <v>290</v>
      </c>
      <c r="I249" t="s">
        <v>290</v>
      </c>
      <c r="J249" t="s">
        <v>290</v>
      </c>
    </row>
    <row r="250" spans="1:10">
      <c r="A250">
        <v>249</v>
      </c>
      <c r="B250">
        <v>267</v>
      </c>
      <c r="C250">
        <v>268</v>
      </c>
      <c r="D250" t="s">
        <v>562</v>
      </c>
      <c r="E250">
        <v>2.54590686381562e-5</v>
      </c>
      <c r="F250">
        <v>1.44585467078934e-5</v>
      </c>
      <c r="G250">
        <v>0</v>
      </c>
      <c r="H250" t="s">
        <v>290</v>
      </c>
      <c r="I250" t="s">
        <v>290</v>
      </c>
      <c r="J250" t="s">
        <v>290</v>
      </c>
    </row>
    <row r="251" spans="1:10">
      <c r="A251">
        <v>250</v>
      </c>
      <c r="B251">
        <v>76</v>
      </c>
      <c r="C251">
        <v>77</v>
      </c>
      <c r="D251" t="s">
        <v>556</v>
      </c>
      <c r="E251">
        <v>2.45758444179955e-5</v>
      </c>
      <c r="F251">
        <v>1.55148787495948e-5</v>
      </c>
      <c r="G251">
        <v>0</v>
      </c>
      <c r="H251" t="s">
        <v>290</v>
      </c>
      <c r="I251" t="s">
        <v>290</v>
      </c>
      <c r="J251" t="s">
        <v>290</v>
      </c>
    </row>
    <row r="252" spans="1:10">
      <c r="A252">
        <v>251</v>
      </c>
      <c r="B252">
        <v>71</v>
      </c>
      <c r="C252">
        <v>72</v>
      </c>
      <c r="D252" t="s">
        <v>557</v>
      </c>
      <c r="E252">
        <v>2.40316983763478e-5</v>
      </c>
      <c r="F252">
        <v>9.52949168891966e-6</v>
      </c>
      <c r="G252">
        <v>0</v>
      </c>
      <c r="H252" t="s">
        <v>290</v>
      </c>
      <c r="I252" t="s">
        <v>290</v>
      </c>
      <c r="J252" t="s">
        <v>290</v>
      </c>
    </row>
    <row r="253" spans="1:10">
      <c r="A253">
        <v>252</v>
      </c>
      <c r="B253">
        <v>17</v>
      </c>
      <c r="C253">
        <v>18</v>
      </c>
      <c r="D253" t="s">
        <v>566</v>
      </c>
      <c r="E253">
        <v>2.34636252571363e-5</v>
      </c>
      <c r="F253">
        <v>1.42969669746924e-5</v>
      </c>
      <c r="G253">
        <v>0</v>
      </c>
      <c r="H253" t="s">
        <v>290</v>
      </c>
      <c r="I253" t="s">
        <v>290</v>
      </c>
      <c r="J253" t="s">
        <v>290</v>
      </c>
    </row>
    <row r="254" spans="1:10">
      <c r="A254">
        <v>253</v>
      </c>
      <c r="B254">
        <v>35</v>
      </c>
      <c r="C254">
        <v>36</v>
      </c>
      <c r="D254" t="s">
        <v>564</v>
      </c>
      <c r="E254">
        <v>2.32340546972409e-5</v>
      </c>
      <c r="F254">
        <v>1.49657611148832e-5</v>
      </c>
      <c r="G254">
        <v>0</v>
      </c>
      <c r="H254" t="s">
        <v>290</v>
      </c>
      <c r="I254" t="s">
        <v>290</v>
      </c>
      <c r="J254" t="s">
        <v>290</v>
      </c>
    </row>
    <row r="255" spans="1:10">
      <c r="A255">
        <v>254</v>
      </c>
      <c r="B255">
        <v>8</v>
      </c>
      <c r="C255">
        <v>9</v>
      </c>
      <c r="D255" t="s">
        <v>560</v>
      </c>
      <c r="E255">
        <v>2.17179412175028e-5</v>
      </c>
      <c r="F255">
        <v>1.05373691210613e-5</v>
      </c>
      <c r="G255">
        <v>0</v>
      </c>
      <c r="H255" t="s">
        <v>290</v>
      </c>
      <c r="I255" t="s">
        <v>290</v>
      </c>
      <c r="J255" t="s">
        <v>290</v>
      </c>
    </row>
    <row r="256" spans="1:10">
      <c r="A256">
        <v>255</v>
      </c>
      <c r="B256">
        <v>69</v>
      </c>
      <c r="C256">
        <v>70</v>
      </c>
      <c r="D256" t="s">
        <v>559</v>
      </c>
      <c r="E256">
        <v>2.15207322071365e-5</v>
      </c>
      <c r="F256">
        <v>1.07984819674338e-5</v>
      </c>
      <c r="G256">
        <v>0</v>
      </c>
      <c r="H256" t="s">
        <v>290</v>
      </c>
      <c r="I256" t="s">
        <v>290</v>
      </c>
      <c r="J256" t="s">
        <v>290</v>
      </c>
    </row>
    <row r="257" spans="1:10">
      <c r="A257">
        <v>256</v>
      </c>
      <c r="B257">
        <v>98</v>
      </c>
      <c r="C257">
        <v>99</v>
      </c>
      <c r="D257" t="s">
        <v>570</v>
      </c>
      <c r="E257">
        <v>2.14651617170603e-5</v>
      </c>
      <c r="F257">
        <v>1.66318346929778e-5</v>
      </c>
      <c r="G257">
        <v>0</v>
      </c>
      <c r="H257" t="s">
        <v>290</v>
      </c>
      <c r="I257" t="s">
        <v>290</v>
      </c>
      <c r="J257" t="s">
        <v>290</v>
      </c>
    </row>
    <row r="258" spans="1:10">
      <c r="A258">
        <v>257</v>
      </c>
      <c r="B258">
        <v>102</v>
      </c>
      <c r="C258">
        <v>103</v>
      </c>
      <c r="D258" t="s">
        <v>571</v>
      </c>
      <c r="E258">
        <v>2.14651591704751e-5</v>
      </c>
      <c r="F258">
        <v>1.66318359272261e-5</v>
      </c>
      <c r="G258">
        <v>0</v>
      </c>
      <c r="H258" t="s">
        <v>290</v>
      </c>
      <c r="I258" t="s">
        <v>290</v>
      </c>
      <c r="J258" t="s">
        <v>290</v>
      </c>
    </row>
    <row r="259" spans="1:10">
      <c r="A259">
        <v>258</v>
      </c>
      <c r="B259">
        <v>72</v>
      </c>
      <c r="C259">
        <v>73</v>
      </c>
      <c r="D259" t="s">
        <v>563</v>
      </c>
      <c r="E259">
        <v>2.08178424145444e-5</v>
      </c>
      <c r="F259">
        <v>1.08533630211413e-5</v>
      </c>
      <c r="G259">
        <v>0</v>
      </c>
      <c r="H259" t="s">
        <v>290</v>
      </c>
      <c r="I259" t="s">
        <v>290</v>
      </c>
      <c r="J259" t="s">
        <v>290</v>
      </c>
    </row>
    <row r="260" spans="1:10">
      <c r="A260">
        <v>259</v>
      </c>
      <c r="B260">
        <v>36</v>
      </c>
      <c r="C260">
        <v>37</v>
      </c>
      <c r="D260" t="s">
        <v>565</v>
      </c>
      <c r="E260">
        <v>2.04653784749098e-5</v>
      </c>
      <c r="F260">
        <v>1.08471223662123e-5</v>
      </c>
      <c r="G260">
        <v>0</v>
      </c>
      <c r="H260" t="s">
        <v>290</v>
      </c>
      <c r="I260" t="s">
        <v>290</v>
      </c>
      <c r="J260" t="s">
        <v>290</v>
      </c>
    </row>
    <row r="261" spans="1:10">
      <c r="A261">
        <v>260</v>
      </c>
      <c r="B261">
        <v>39</v>
      </c>
      <c r="C261">
        <v>40</v>
      </c>
      <c r="D261" t="s">
        <v>572</v>
      </c>
      <c r="E261">
        <v>1.91473345353188e-5</v>
      </c>
      <c r="F261">
        <v>1.31622075971787e-5</v>
      </c>
      <c r="G261">
        <v>0</v>
      </c>
      <c r="H261" t="s">
        <v>290</v>
      </c>
      <c r="I261" t="s">
        <v>290</v>
      </c>
      <c r="J261" t="s">
        <v>290</v>
      </c>
    </row>
    <row r="262" spans="1:10">
      <c r="A262">
        <v>261</v>
      </c>
      <c r="B262">
        <v>38</v>
      </c>
      <c r="C262">
        <v>39</v>
      </c>
      <c r="D262" t="s">
        <v>573</v>
      </c>
      <c r="E262">
        <v>1.91473345353188e-5</v>
      </c>
      <c r="F262">
        <v>1.31622075971787e-5</v>
      </c>
      <c r="G262">
        <v>0</v>
      </c>
      <c r="H262" t="s">
        <v>290</v>
      </c>
      <c r="I262" t="s">
        <v>290</v>
      </c>
      <c r="J262" t="s">
        <v>290</v>
      </c>
    </row>
    <row r="263" spans="1:10">
      <c r="A263">
        <v>262</v>
      </c>
      <c r="B263">
        <v>37</v>
      </c>
      <c r="C263">
        <v>38</v>
      </c>
      <c r="D263" t="s">
        <v>574</v>
      </c>
      <c r="E263">
        <v>1.91473345353188e-5</v>
      </c>
      <c r="F263">
        <v>1.31622075971787e-5</v>
      </c>
      <c r="G263">
        <v>0</v>
      </c>
      <c r="H263" t="s">
        <v>290</v>
      </c>
      <c r="I263" t="s">
        <v>290</v>
      </c>
      <c r="J263" t="s">
        <v>290</v>
      </c>
    </row>
    <row r="264" spans="1:10">
      <c r="A264">
        <v>263</v>
      </c>
      <c r="B264">
        <v>83</v>
      </c>
      <c r="C264">
        <v>84</v>
      </c>
      <c r="D264" t="s">
        <v>568</v>
      </c>
      <c r="E264">
        <v>1.87107749297866e-5</v>
      </c>
      <c r="F264">
        <v>9.31280973111382e-6</v>
      </c>
      <c r="G264">
        <v>0</v>
      </c>
      <c r="H264" t="s">
        <v>290</v>
      </c>
      <c r="I264" t="s">
        <v>290</v>
      </c>
      <c r="J264" t="s">
        <v>290</v>
      </c>
    </row>
    <row r="265" spans="1:10">
      <c r="A265">
        <v>264</v>
      </c>
      <c r="B265">
        <v>84</v>
      </c>
      <c r="C265">
        <v>85</v>
      </c>
      <c r="D265" t="s">
        <v>567</v>
      </c>
      <c r="E265">
        <v>1.87107749297866e-5</v>
      </c>
      <c r="F265">
        <v>9.31280973111382e-6</v>
      </c>
      <c r="G265">
        <v>0</v>
      </c>
      <c r="H265" t="s">
        <v>290</v>
      </c>
      <c r="I265" t="s">
        <v>290</v>
      </c>
      <c r="J265" t="s">
        <v>290</v>
      </c>
    </row>
    <row r="266" spans="1:10">
      <c r="A266">
        <v>265</v>
      </c>
      <c r="B266">
        <v>82</v>
      </c>
      <c r="C266">
        <v>83</v>
      </c>
      <c r="D266" t="s">
        <v>569</v>
      </c>
      <c r="E266">
        <v>1.84591600373096e-5</v>
      </c>
      <c r="F266">
        <v>9.81824738708336e-6</v>
      </c>
      <c r="G266">
        <v>0</v>
      </c>
      <c r="H266" t="s">
        <v>290</v>
      </c>
      <c r="I266" t="s">
        <v>290</v>
      </c>
      <c r="J266" t="s">
        <v>290</v>
      </c>
    </row>
    <row r="267" spans="1:10">
      <c r="A267">
        <v>266</v>
      </c>
      <c r="B267">
        <v>33</v>
      </c>
      <c r="C267">
        <v>34</v>
      </c>
      <c r="D267" t="s">
        <v>575</v>
      </c>
      <c r="E267">
        <v>1.79304089215293e-5</v>
      </c>
      <c r="F267">
        <v>7.0382510178079e-6</v>
      </c>
      <c r="G267">
        <v>0</v>
      </c>
      <c r="H267" t="s">
        <v>290</v>
      </c>
      <c r="I267" t="s">
        <v>290</v>
      </c>
      <c r="J267" t="s">
        <v>290</v>
      </c>
    </row>
    <row r="268" spans="1:10">
      <c r="A268">
        <v>267</v>
      </c>
      <c r="B268">
        <v>113</v>
      </c>
      <c r="C268">
        <v>114</v>
      </c>
      <c r="D268" t="s">
        <v>579</v>
      </c>
      <c r="E268">
        <v>1.57429184582725e-5</v>
      </c>
      <c r="F268">
        <v>7.88260250955348e-6</v>
      </c>
      <c r="G268">
        <v>0</v>
      </c>
      <c r="H268" t="s">
        <v>290</v>
      </c>
      <c r="I268" t="s">
        <v>290</v>
      </c>
      <c r="J268" t="s">
        <v>290</v>
      </c>
    </row>
    <row r="269" spans="1:10">
      <c r="A269">
        <v>268</v>
      </c>
      <c r="B269">
        <v>77</v>
      </c>
      <c r="C269">
        <v>78</v>
      </c>
      <c r="D269" t="s">
        <v>576</v>
      </c>
      <c r="E269">
        <v>1.52581356360315e-5</v>
      </c>
      <c r="F269">
        <v>6.55617653487095e-6</v>
      </c>
      <c r="G269">
        <v>0</v>
      </c>
      <c r="H269" t="s">
        <v>290</v>
      </c>
      <c r="I269" t="s">
        <v>290</v>
      </c>
      <c r="J269" t="s">
        <v>290</v>
      </c>
    </row>
    <row r="270" spans="1:10">
      <c r="A270">
        <v>269</v>
      </c>
      <c r="B270">
        <v>78</v>
      </c>
      <c r="C270">
        <v>79</v>
      </c>
      <c r="D270" t="s">
        <v>577</v>
      </c>
      <c r="E270">
        <v>1.52581356360315e-5</v>
      </c>
      <c r="F270">
        <v>6.55617653487095e-6</v>
      </c>
      <c r="G270">
        <v>0</v>
      </c>
      <c r="H270" t="s">
        <v>290</v>
      </c>
      <c r="I270" t="s">
        <v>290</v>
      </c>
      <c r="J270" t="s">
        <v>290</v>
      </c>
    </row>
    <row r="271" spans="1:10">
      <c r="A271">
        <v>270</v>
      </c>
      <c r="B271">
        <v>79</v>
      </c>
      <c r="C271">
        <v>80</v>
      </c>
      <c r="D271" t="s">
        <v>578</v>
      </c>
      <c r="E271">
        <v>1.52581356360315e-5</v>
      </c>
      <c r="F271">
        <v>6.55617653487095e-6</v>
      </c>
      <c r="G271">
        <v>0</v>
      </c>
      <c r="H271" t="s">
        <v>290</v>
      </c>
      <c r="I271" t="s">
        <v>290</v>
      </c>
      <c r="J271" t="s">
        <v>290</v>
      </c>
    </row>
    <row r="272" spans="1:10">
      <c r="A272">
        <v>271</v>
      </c>
      <c r="B272">
        <v>16</v>
      </c>
      <c r="C272">
        <v>17</v>
      </c>
      <c r="D272" t="s">
        <v>580</v>
      </c>
      <c r="E272">
        <v>1.45988253279938e-5</v>
      </c>
      <c r="F272">
        <v>7.47451583665173e-6</v>
      </c>
      <c r="G272">
        <v>0</v>
      </c>
      <c r="H272" t="s">
        <v>290</v>
      </c>
      <c r="I272" t="s">
        <v>290</v>
      </c>
      <c r="J272" t="s">
        <v>290</v>
      </c>
    </row>
    <row r="273" spans="1:10">
      <c r="A273">
        <v>272</v>
      </c>
      <c r="B273">
        <v>26</v>
      </c>
      <c r="C273">
        <v>27</v>
      </c>
      <c r="D273" t="s">
        <v>581</v>
      </c>
      <c r="E273">
        <v>1.45472477925068e-5</v>
      </c>
      <c r="F273">
        <v>6.4989680764407e-6</v>
      </c>
      <c r="G273">
        <v>0</v>
      </c>
      <c r="H273" t="s">
        <v>290</v>
      </c>
      <c r="I273" t="s">
        <v>290</v>
      </c>
      <c r="J273" t="s">
        <v>290</v>
      </c>
    </row>
    <row r="274" spans="1:10">
      <c r="A274">
        <v>273</v>
      </c>
      <c r="B274">
        <v>73</v>
      </c>
      <c r="C274">
        <v>74</v>
      </c>
      <c r="D274" t="s">
        <v>582</v>
      </c>
      <c r="E274">
        <v>1.41846281167091e-5</v>
      </c>
      <c r="F274">
        <v>6.95695550845948e-6</v>
      </c>
      <c r="G274">
        <v>0</v>
      </c>
      <c r="H274" t="s">
        <v>290</v>
      </c>
      <c r="I274" t="s">
        <v>290</v>
      </c>
      <c r="J274" t="s">
        <v>290</v>
      </c>
    </row>
    <row r="275" spans="1:10">
      <c r="A275">
        <v>274</v>
      </c>
      <c r="B275">
        <v>43</v>
      </c>
      <c r="C275">
        <v>44</v>
      </c>
      <c r="D275" t="s">
        <v>583</v>
      </c>
      <c r="E275">
        <v>1.36559094244149e-5</v>
      </c>
      <c r="F275">
        <v>6.69289290259779e-6</v>
      </c>
      <c r="G275">
        <v>0</v>
      </c>
      <c r="H275" t="s">
        <v>290</v>
      </c>
      <c r="I275" t="s">
        <v>290</v>
      </c>
      <c r="J275" t="s">
        <v>290</v>
      </c>
    </row>
    <row r="276" spans="1:10">
      <c r="A276">
        <v>275</v>
      </c>
      <c r="B276">
        <v>42</v>
      </c>
      <c r="C276">
        <v>43</v>
      </c>
      <c r="D276" t="s">
        <v>585</v>
      </c>
      <c r="E276">
        <v>1.30317504044797e-5</v>
      </c>
      <c r="F276">
        <v>6.33904273540536e-6</v>
      </c>
      <c r="G276">
        <v>0</v>
      </c>
      <c r="H276" t="s">
        <v>290</v>
      </c>
      <c r="I276" t="s">
        <v>290</v>
      </c>
      <c r="J276" t="s">
        <v>290</v>
      </c>
    </row>
    <row r="277" spans="1:10">
      <c r="A277">
        <v>276</v>
      </c>
      <c r="B277">
        <v>3</v>
      </c>
      <c r="C277">
        <v>4</v>
      </c>
      <c r="D277" t="s">
        <v>584</v>
      </c>
      <c r="E277">
        <v>1.30036237806053e-5</v>
      </c>
      <c r="F277">
        <v>4.88196000802384e-6</v>
      </c>
      <c r="G277">
        <v>0</v>
      </c>
      <c r="H277" t="s">
        <v>290</v>
      </c>
      <c r="I277" t="s">
        <v>290</v>
      </c>
      <c r="J277" t="s">
        <v>290</v>
      </c>
    </row>
    <row r="278" spans="1:10">
      <c r="A278">
        <v>277</v>
      </c>
      <c r="B278">
        <v>44</v>
      </c>
      <c r="C278">
        <v>45</v>
      </c>
      <c r="D278" t="s">
        <v>593</v>
      </c>
      <c r="E278">
        <v>1.29817495235329e-5</v>
      </c>
      <c r="F278">
        <v>6.06824946332338e-6</v>
      </c>
      <c r="G278">
        <v>0</v>
      </c>
      <c r="H278" t="s">
        <v>290</v>
      </c>
      <c r="I278" t="s">
        <v>290</v>
      </c>
      <c r="J278" t="s">
        <v>290</v>
      </c>
    </row>
    <row r="279" spans="1:10">
      <c r="A279">
        <v>278</v>
      </c>
      <c r="B279">
        <v>23</v>
      </c>
      <c r="C279">
        <v>24</v>
      </c>
      <c r="D279" t="s">
        <v>586</v>
      </c>
      <c r="E279">
        <v>1.29817478864425e-5</v>
      </c>
      <c r="F279">
        <v>6.06825074497714e-6</v>
      </c>
      <c r="G279">
        <v>0</v>
      </c>
      <c r="H279" t="s">
        <v>290</v>
      </c>
      <c r="I279" t="s">
        <v>290</v>
      </c>
      <c r="J279" t="s">
        <v>290</v>
      </c>
    </row>
    <row r="280" spans="1:10">
      <c r="A280">
        <v>279</v>
      </c>
      <c r="B280">
        <v>24</v>
      </c>
      <c r="C280">
        <v>25</v>
      </c>
      <c r="D280" t="s">
        <v>587</v>
      </c>
      <c r="E280">
        <v>1.29817478864425e-5</v>
      </c>
      <c r="F280">
        <v>6.06825074497714e-6</v>
      </c>
      <c r="G280">
        <v>0</v>
      </c>
      <c r="H280" t="s">
        <v>290</v>
      </c>
      <c r="I280" t="s">
        <v>290</v>
      </c>
      <c r="J280" t="s">
        <v>290</v>
      </c>
    </row>
    <row r="281" spans="1:10">
      <c r="A281">
        <v>280</v>
      </c>
      <c r="B281">
        <v>48</v>
      </c>
      <c r="C281">
        <v>49</v>
      </c>
      <c r="D281" t="s">
        <v>592</v>
      </c>
      <c r="E281">
        <v>1.29817463403015e-5</v>
      </c>
      <c r="F281">
        <v>6.06825222159915e-6</v>
      </c>
      <c r="G281">
        <v>0</v>
      </c>
      <c r="H281" t="s">
        <v>290</v>
      </c>
      <c r="I281" t="s">
        <v>290</v>
      </c>
      <c r="J281" t="s">
        <v>290</v>
      </c>
    </row>
    <row r="282" spans="1:10">
      <c r="A282">
        <v>281</v>
      </c>
      <c r="B282">
        <v>86</v>
      </c>
      <c r="C282">
        <v>87</v>
      </c>
      <c r="D282" t="s">
        <v>588</v>
      </c>
      <c r="E282">
        <v>1.29817443394131e-5</v>
      </c>
      <c r="F282">
        <v>6.06824927717276e-6</v>
      </c>
      <c r="G282">
        <v>0</v>
      </c>
      <c r="H282" t="s">
        <v>290</v>
      </c>
      <c r="I282" t="s">
        <v>290</v>
      </c>
      <c r="J282" t="s">
        <v>290</v>
      </c>
    </row>
    <row r="283" spans="1:10">
      <c r="A283">
        <v>282</v>
      </c>
      <c r="B283">
        <v>87</v>
      </c>
      <c r="C283">
        <v>88</v>
      </c>
      <c r="D283" t="s">
        <v>589</v>
      </c>
      <c r="E283">
        <v>1.29817443394131e-5</v>
      </c>
      <c r="F283">
        <v>6.06824927717276e-6</v>
      </c>
      <c r="G283">
        <v>0</v>
      </c>
      <c r="H283" t="s">
        <v>290</v>
      </c>
      <c r="I283" t="s">
        <v>290</v>
      </c>
      <c r="J283" t="s">
        <v>290</v>
      </c>
    </row>
    <row r="284" spans="1:10">
      <c r="A284">
        <v>283</v>
      </c>
      <c r="B284">
        <v>88</v>
      </c>
      <c r="C284">
        <v>89</v>
      </c>
      <c r="D284" t="s">
        <v>590</v>
      </c>
      <c r="E284">
        <v>1.29817443394131e-5</v>
      </c>
      <c r="F284">
        <v>6.06824927717276e-6</v>
      </c>
      <c r="G284">
        <v>0</v>
      </c>
      <c r="H284" t="s">
        <v>290</v>
      </c>
      <c r="I284" t="s">
        <v>290</v>
      </c>
      <c r="J284" t="s">
        <v>290</v>
      </c>
    </row>
    <row r="285" spans="1:10">
      <c r="A285">
        <v>284</v>
      </c>
      <c r="B285">
        <v>89</v>
      </c>
      <c r="C285">
        <v>90</v>
      </c>
      <c r="D285" t="s">
        <v>591</v>
      </c>
      <c r="E285">
        <v>1.29817443394131e-5</v>
      </c>
      <c r="F285">
        <v>6.06824927717276e-6</v>
      </c>
      <c r="G285">
        <v>0</v>
      </c>
      <c r="H285" t="s">
        <v>290</v>
      </c>
      <c r="I285" t="s">
        <v>290</v>
      </c>
      <c r="J285" t="s">
        <v>290</v>
      </c>
    </row>
    <row r="286" spans="1:10">
      <c r="A286">
        <v>285</v>
      </c>
      <c r="B286">
        <v>32</v>
      </c>
      <c r="C286">
        <v>33</v>
      </c>
      <c r="D286" t="s">
        <v>594</v>
      </c>
      <c r="E286">
        <v>1.15530344373838e-5</v>
      </c>
      <c r="F286">
        <v>5.58462947773199e-6</v>
      </c>
      <c r="G286">
        <v>0</v>
      </c>
      <c r="H286" t="s">
        <v>290</v>
      </c>
      <c r="I286" t="s">
        <v>290</v>
      </c>
      <c r="J286" t="s">
        <v>290</v>
      </c>
    </row>
    <row r="287" spans="1:10">
      <c r="A287">
        <v>286</v>
      </c>
      <c r="B287">
        <v>15</v>
      </c>
      <c r="C287">
        <v>16</v>
      </c>
      <c r="D287" t="s">
        <v>596</v>
      </c>
      <c r="E287">
        <v>1.10330843654083e-5</v>
      </c>
      <c r="F287">
        <v>4.54470043575751e-6</v>
      </c>
      <c r="G287">
        <v>0</v>
      </c>
      <c r="H287" t="s">
        <v>290</v>
      </c>
      <c r="I287" t="s">
        <v>290</v>
      </c>
      <c r="J287" t="s">
        <v>290</v>
      </c>
    </row>
    <row r="288" spans="1:10">
      <c r="A288">
        <v>287</v>
      </c>
      <c r="B288">
        <v>40</v>
      </c>
      <c r="C288">
        <v>41</v>
      </c>
      <c r="D288" t="s">
        <v>595</v>
      </c>
      <c r="E288">
        <v>1.10167613911472e-5</v>
      </c>
      <c r="F288">
        <v>5.50276085549649e-6</v>
      </c>
      <c r="G288">
        <v>0</v>
      </c>
      <c r="H288" t="s">
        <v>290</v>
      </c>
      <c r="I288" t="s">
        <v>290</v>
      </c>
      <c r="J288" t="s">
        <v>290</v>
      </c>
    </row>
    <row r="289" spans="1:10">
      <c r="A289">
        <v>288</v>
      </c>
      <c r="B289">
        <v>25</v>
      </c>
      <c r="C289">
        <v>26</v>
      </c>
      <c r="D289" t="s">
        <v>599</v>
      </c>
      <c r="E289">
        <v>1.05789873487083e-5</v>
      </c>
      <c r="F289">
        <v>7.75109053986888e-6</v>
      </c>
      <c r="G289">
        <v>0</v>
      </c>
      <c r="H289" t="s">
        <v>290</v>
      </c>
      <c r="I289" t="s">
        <v>290</v>
      </c>
      <c r="J289" t="s">
        <v>290</v>
      </c>
    </row>
    <row r="290" spans="1:10">
      <c r="A290">
        <v>289</v>
      </c>
      <c r="B290">
        <v>31</v>
      </c>
      <c r="C290">
        <v>32</v>
      </c>
      <c r="D290" t="s">
        <v>597</v>
      </c>
      <c r="E290">
        <v>1.02713806882093e-5</v>
      </c>
      <c r="F290">
        <v>4.66754615047987e-6</v>
      </c>
      <c r="G290">
        <v>0</v>
      </c>
      <c r="H290" t="s">
        <v>290</v>
      </c>
      <c r="I290" t="s">
        <v>290</v>
      </c>
      <c r="J290" t="s">
        <v>290</v>
      </c>
    </row>
    <row r="291" spans="1:10">
      <c r="A291">
        <v>290</v>
      </c>
      <c r="B291">
        <v>41</v>
      </c>
      <c r="C291">
        <v>42</v>
      </c>
      <c r="D291" t="s">
        <v>598</v>
      </c>
      <c r="E291">
        <v>9.24711771403963e-6</v>
      </c>
      <c r="F291">
        <v>5.01694929446649e-6</v>
      </c>
      <c r="G291">
        <v>0</v>
      </c>
      <c r="H291" t="s">
        <v>290</v>
      </c>
      <c r="I291" t="s">
        <v>290</v>
      </c>
      <c r="J291" t="s">
        <v>290</v>
      </c>
    </row>
    <row r="292" spans="1:10">
      <c r="A292">
        <v>291</v>
      </c>
      <c r="B292">
        <v>45</v>
      </c>
      <c r="C292">
        <v>46</v>
      </c>
      <c r="D292" t="s">
        <v>600</v>
      </c>
      <c r="E292">
        <v>8.76872813933005e-6</v>
      </c>
      <c r="F292">
        <v>4.55135887675432e-6</v>
      </c>
      <c r="G292">
        <v>0</v>
      </c>
      <c r="H292" t="s">
        <v>290</v>
      </c>
      <c r="I292" t="s">
        <v>290</v>
      </c>
      <c r="J292" t="s">
        <v>290</v>
      </c>
    </row>
    <row r="293" spans="1:10">
      <c r="A293">
        <v>292</v>
      </c>
      <c r="B293">
        <v>46</v>
      </c>
      <c r="C293">
        <v>47</v>
      </c>
      <c r="D293" t="s">
        <v>601</v>
      </c>
      <c r="E293">
        <v>6.67602491830621e-6</v>
      </c>
      <c r="F293">
        <v>3.26331177649103e-6</v>
      </c>
      <c r="G293">
        <v>0</v>
      </c>
      <c r="H293" t="s">
        <v>290</v>
      </c>
      <c r="I293" t="s">
        <v>290</v>
      </c>
      <c r="J293" t="s">
        <v>290</v>
      </c>
    </row>
  </sheetData>
  <conditionalFormatting sqref="H2:H51">
    <cfRule type="expression" dxfId="0" priority="1">
      <formula>LEFT(H2,9)="Confirmed"</formula>
    </cfRule>
    <cfRule type="expression" dxfId="1" priority="2">
      <formula>LEFT(H2,9)="Supported"</formula>
    </cfRule>
    <cfRule type="expression" dxfId="2" priority="3">
      <formula>LEFT(H2,6)="GATMDA"</formula>
    </cfRule>
    <cfRule type="expression" dxfId="3" priority="4">
      <formula>LEFT(H2,7)="Pending"</formula>
    </cfRule>
  </conditionalFormatting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workbookViewId="0">
      <selection activeCell="A1" sqref="A1:H1"/>
    </sheetView>
  </sheetViews>
  <sheetFormatPr defaultColWidth="9" defaultRowHeight="16.8" outlineLevelCol="7"/>
  <cols>
    <col min="1" max="1" width="18" customWidth="1"/>
    <col min="2" max="2" width="10" customWidth="1"/>
    <col min="3" max="6" width="22" customWidth="1"/>
    <col min="7" max="7" width="18" customWidth="1"/>
    <col min="8" max="8" width="22" customWidth="1"/>
  </cols>
  <sheetData>
    <row r="1" customHeight="1" spans="1:8">
      <c r="A1" s="4" t="s">
        <v>738</v>
      </c>
      <c r="B1" s="4"/>
      <c r="C1" s="4"/>
      <c r="D1" s="4"/>
      <c r="E1" s="4"/>
      <c r="F1" s="4"/>
      <c r="G1" s="4"/>
      <c r="H1" s="4"/>
    </row>
    <row r="3" ht="26.4" customHeight="1" spans="1:8">
      <c r="A3" s="5" t="s">
        <v>55</v>
      </c>
      <c r="B3" s="5" t="s">
        <v>68</v>
      </c>
      <c r="C3" s="5" t="s">
        <v>739</v>
      </c>
      <c r="D3" s="5" t="s">
        <v>740</v>
      </c>
      <c r="E3" s="5" t="s">
        <v>741</v>
      </c>
      <c r="F3" s="5" t="s">
        <v>742</v>
      </c>
      <c r="G3" s="5" t="s">
        <v>743</v>
      </c>
      <c r="H3" s="5" t="s">
        <v>744</v>
      </c>
    </row>
    <row r="4" ht="15" customHeight="1" spans="1:8">
      <c r="A4" t="s">
        <v>7</v>
      </c>
      <c r="B4">
        <v>10</v>
      </c>
      <c r="C4">
        <f>COUNTIF(Asthma_top50!$H$2:$H$11,"Confirmed (direct human)")</f>
        <v>10</v>
      </c>
      <c r="D4">
        <f>COUNTIF(Asthma_top50!$H$2:$H$11,"Confirmed (direct human)")+COUNTIF(Asthma_top50!$H$2:$H$11,"Supported (human broader/indirect)")</f>
        <v>10</v>
      </c>
      <c r="E4">
        <f>COUNTIF(Asthma_top50!$H$2:$H$11,"GATMDA-reported lead; needs reverse-check")</f>
        <v>0</v>
      </c>
      <c r="F4">
        <f>COUNTIF(Asthma_top50!$H$2:$H$11,"Pending / no direct human evidence verified yet")</f>
        <v>0</v>
      </c>
      <c r="G4" s="6">
        <f t="shared" ref="G4:G9" si="0">D4/B4</f>
        <v>1</v>
      </c>
      <c r="H4">
        <v>10</v>
      </c>
    </row>
    <row r="5" ht="15" customHeight="1" spans="1:8">
      <c r="A5" t="s">
        <v>7</v>
      </c>
      <c r="B5">
        <v>20</v>
      </c>
      <c r="C5">
        <f>COUNTIF(Asthma_top50!$H$2:$H$21,"Confirmed (direct human)")</f>
        <v>18</v>
      </c>
      <c r="D5">
        <f>COUNTIF(Asthma_top50!$H$2:$H$21,"Confirmed (direct human)")+COUNTIF(Asthma_top50!$H$2:$H$21,"Supported (human broader/indirect)")</f>
        <v>19</v>
      </c>
      <c r="E5">
        <f>COUNTIF(Asthma_top50!$H$2:$H$21,"GATMDA-reported lead; needs reverse-check")</f>
        <v>0</v>
      </c>
      <c r="F5">
        <f>COUNTIF(Asthma_top50!$H$2:$H$21,"Pending / no direct human evidence verified yet")</f>
        <v>1</v>
      </c>
      <c r="G5" s="6">
        <f t="shared" si="0"/>
        <v>0.95</v>
      </c>
      <c r="H5">
        <v>18</v>
      </c>
    </row>
    <row r="6" ht="15" customHeight="1" spans="1:8">
      <c r="A6" t="s">
        <v>7</v>
      </c>
      <c r="B6">
        <v>50</v>
      </c>
      <c r="C6">
        <f>COUNTIF(Asthma_top50!$H$2:$H$51,"Confirmed (direct human)")</f>
        <v>30</v>
      </c>
      <c r="D6">
        <f>COUNTIF(Asthma_top50!$H$2:$H$51,"Confirmed (direct human)")+COUNTIF(Asthma_top50!$H$2:$H$51,"Supported (human broader/indirect)")</f>
        <v>44</v>
      </c>
      <c r="E6">
        <f>COUNTIF(Asthma_top50!$H$2:$H$51,"GATMDA-reported lead; needs reverse-check")</f>
        <v>0</v>
      </c>
      <c r="F6">
        <f>COUNTIF(Asthma_top50!$H$2:$H$51,"Pending / no direct human evidence verified yet")</f>
        <v>6</v>
      </c>
      <c r="G6" s="6">
        <f t="shared" si="0"/>
        <v>0.88</v>
      </c>
      <c r="H6">
        <v>38</v>
      </c>
    </row>
    <row r="7" ht="15" customHeight="1" spans="1:8">
      <c r="A7" t="s">
        <v>8</v>
      </c>
      <c r="B7">
        <v>10</v>
      </c>
      <c r="C7">
        <f>COUNTIF(IBD_top50!$H$2:$H$11,"Confirmed (direct human)")</f>
        <v>10</v>
      </c>
      <c r="D7">
        <f>COUNTIF(IBD_top50!$H$2:$H$11,"Confirmed (direct human)")+COUNTIF(IBD_top50!$H$2:$H$11,"Supported (human broader/indirect)")</f>
        <v>10</v>
      </c>
      <c r="E7">
        <f>COUNTIF(IBD_top50!$H$2:$H$11,"GATMDA-reported lead; needs reverse-check")</f>
        <v>0</v>
      </c>
      <c r="F7">
        <f>COUNTIF(IBD_top50!$H$2:$H$11,"Pending / no direct human evidence verified yet")</f>
        <v>0</v>
      </c>
      <c r="G7" s="6">
        <f t="shared" si="0"/>
        <v>1</v>
      </c>
      <c r="H7">
        <v>10</v>
      </c>
    </row>
    <row r="8" ht="15" customHeight="1" spans="1:8">
      <c r="A8" t="s">
        <v>8</v>
      </c>
      <c r="B8">
        <v>20</v>
      </c>
      <c r="C8">
        <f>COUNTIF(IBD_top50!$H$2:$H$21,"Confirmed (direct human)")</f>
        <v>18</v>
      </c>
      <c r="D8">
        <f>COUNTIF(IBD_top50!$H$2:$H$21,"Confirmed (direct human)")+COUNTIF(IBD_top50!$H$2:$H$21,"Supported (human broader/indirect)")</f>
        <v>20</v>
      </c>
      <c r="E8">
        <f>COUNTIF(IBD_top50!$H$2:$H$21,"GATMDA-reported lead; needs reverse-check")</f>
        <v>0</v>
      </c>
      <c r="F8">
        <f>COUNTIF(IBD_top50!$H$2:$H$21,"Pending / no direct human evidence verified yet")</f>
        <v>0</v>
      </c>
      <c r="G8" s="6">
        <f t="shared" si="0"/>
        <v>1</v>
      </c>
      <c r="H8">
        <v>20</v>
      </c>
    </row>
    <row r="9" ht="15" customHeight="1" spans="1:8">
      <c r="A9" t="s">
        <v>8</v>
      </c>
      <c r="B9">
        <v>50</v>
      </c>
      <c r="C9">
        <f>COUNTIF(IBD_top50!$H$2:$H$51,"Confirmed (direct human)")</f>
        <v>38</v>
      </c>
      <c r="D9">
        <f>COUNTIF(IBD_top50!$H$2:$H$51,"Confirmed (direct human)")+COUNTIF(IBD_top50!$H$2:$H$51,"Supported (human broader/indirect)")</f>
        <v>46</v>
      </c>
      <c r="E9">
        <f>COUNTIF(IBD_top50!$H$2:$H$51,"GATMDA-reported lead; needs reverse-check")</f>
        <v>0</v>
      </c>
      <c r="F9">
        <f>COUNTIF(IBD_top50!$H$2:$H$51,"Pending / no direct human evidence verified yet")</f>
        <v>4</v>
      </c>
      <c r="G9" s="6">
        <f t="shared" si="0"/>
        <v>0.92</v>
      </c>
      <c r="H9">
        <v>44</v>
      </c>
    </row>
    <row r="11" ht="15" customHeight="1" spans="1:8">
      <c r="A11" s="7" t="s">
        <v>745</v>
      </c>
      <c r="B11" s="7"/>
      <c r="C11" s="7"/>
      <c r="D11" s="7"/>
      <c r="E11" s="7"/>
      <c r="F11" s="7"/>
      <c r="G11" s="7"/>
      <c r="H11" s="7"/>
    </row>
    <row r="12" ht="15" customHeight="1" spans="1:8">
      <c r="A12" t="s">
        <v>168</v>
      </c>
      <c r="B12" t="s">
        <v>746</v>
      </c>
    </row>
    <row r="13" ht="15" customHeight="1" spans="1:8">
      <c r="A13" t="s">
        <v>229</v>
      </c>
      <c r="B13" t="s">
        <v>747</v>
      </c>
    </row>
    <row r="14" ht="15" customHeight="1" spans="1:8">
      <c r="A14" t="s">
        <v>748</v>
      </c>
      <c r="B14" t="s">
        <v>749</v>
      </c>
    </row>
    <row r="15" ht="15" customHeight="1" spans="1:8">
      <c r="A15" t="s">
        <v>240</v>
      </c>
      <c r="B15" t="s">
        <v>750</v>
      </c>
    </row>
    <row r="17" spans="1:8">
      <c r="A17" s="8" t="s">
        <v>751</v>
      </c>
      <c r="B17" s="8"/>
      <c r="C17" s="8"/>
      <c r="D17" s="8"/>
      <c r="E17" s="8"/>
      <c r="F17" s="8"/>
      <c r="G17" s="8"/>
      <c r="H17" s="8"/>
    </row>
    <row r="18" spans="1:8">
      <c r="A18" s="8"/>
      <c r="B18" s="8"/>
      <c r="C18" s="8"/>
      <c r="D18" s="8"/>
      <c r="E18" s="8"/>
      <c r="F18" s="8"/>
      <c r="G18" s="8"/>
      <c r="H18" s="8"/>
    </row>
    <row r="19" ht="17" spans="1:8">
      <c r="A19" s="9" t="s">
        <v>752</v>
      </c>
      <c r="B19" s="9"/>
      <c r="C19" s="9"/>
      <c r="D19" s="9"/>
      <c r="E19" s="9"/>
      <c r="F19" s="9"/>
      <c r="G19" s="9"/>
      <c r="H19" s="9"/>
    </row>
    <row r="20" ht="152" spans="1:8">
      <c r="A20" s="8" t="s">
        <v>753</v>
      </c>
      <c r="B20" s="8"/>
      <c r="C20" s="8"/>
      <c r="D20" s="8"/>
      <c r="E20" s="8"/>
      <c r="F20" s="8"/>
      <c r="G20" s="8"/>
      <c r="H20" s="8"/>
    </row>
    <row r="21" ht="135" spans="1:8">
      <c r="A21" s="8" t="s">
        <v>754</v>
      </c>
      <c r="B21" s="8"/>
      <c r="C21" s="8"/>
      <c r="D21" s="8"/>
      <c r="E21" s="8"/>
      <c r="F21" s="8"/>
      <c r="G21" s="8"/>
      <c r="H21" s="8"/>
    </row>
    <row r="22" ht="17" spans="1:8">
      <c r="A22" s="10" t="s">
        <v>755</v>
      </c>
      <c r="B22" s="10"/>
      <c r="C22" s="10"/>
      <c r="D22" s="10"/>
      <c r="E22" s="10"/>
      <c r="F22" s="10"/>
      <c r="G22" s="10"/>
      <c r="H22" s="10"/>
    </row>
    <row r="23" ht="135" spans="1:8">
      <c r="A23" s="8" t="s">
        <v>756</v>
      </c>
      <c r="B23" s="8"/>
      <c r="C23" s="8"/>
      <c r="D23" s="8"/>
      <c r="E23" s="8"/>
      <c r="F23" s="8"/>
      <c r="G23" s="8"/>
      <c r="H23" s="8"/>
    </row>
    <row r="24" ht="118" spans="1:8">
      <c r="A24" s="8" t="s">
        <v>757</v>
      </c>
      <c r="B24" s="8"/>
      <c r="C24" s="8"/>
      <c r="D24" s="8"/>
      <c r="E24" s="8"/>
      <c r="F24" s="8"/>
      <c r="G24" s="8"/>
      <c r="H24" s="8"/>
    </row>
  </sheetData>
  <mergeCells count="3">
    <mergeCell ref="A1:H1"/>
    <mergeCell ref="A11:H11"/>
    <mergeCell ref="A17:H18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A1" sqref="A1"/>
    </sheetView>
  </sheetViews>
  <sheetFormatPr defaultColWidth="9" defaultRowHeight="16.8" outlineLevelRow="4" outlineLevelCol="5"/>
  <cols>
    <col min="1" max="1" width="12" customWidth="1"/>
    <col min="2" max="2" width="24" customWidth="1"/>
    <col min="3" max="3" width="14" customWidth="1"/>
    <col min="4" max="4" width="48" customWidth="1"/>
    <col min="5" max="5" width="30" customWidth="1"/>
    <col min="6" max="6" width="42" customWidth="1"/>
  </cols>
  <sheetData>
    <row r="1" ht="17" spans="1:6">
      <c r="A1" s="3" t="s">
        <v>55</v>
      </c>
      <c r="B1" s="3" t="s">
        <v>758</v>
      </c>
      <c r="C1" s="3" t="s">
        <v>759</v>
      </c>
      <c r="D1" s="3" t="s">
        <v>760</v>
      </c>
      <c r="E1" s="3" t="s">
        <v>761</v>
      </c>
      <c r="F1" s="3" t="s">
        <v>762</v>
      </c>
    </row>
    <row r="2" ht="51" spans="1:6">
      <c r="A2" s="2" t="s">
        <v>7</v>
      </c>
      <c r="B2" s="2" t="s">
        <v>239</v>
      </c>
      <c r="C2" s="2" t="s">
        <v>241</v>
      </c>
      <c r="D2" s="2" t="s">
        <v>763</v>
      </c>
      <c r="E2" s="2" t="s">
        <v>764</v>
      </c>
      <c r="F2" s="2" t="s">
        <v>243</v>
      </c>
    </row>
    <row r="3" ht="51" spans="1:6">
      <c r="A3" s="2" t="s">
        <v>7</v>
      </c>
      <c r="B3" s="2" t="s">
        <v>293</v>
      </c>
      <c r="C3" s="2" t="s">
        <v>294</v>
      </c>
      <c r="D3" s="2" t="s">
        <v>765</v>
      </c>
      <c r="E3" s="2" t="s">
        <v>764</v>
      </c>
      <c r="F3" s="2" t="s">
        <v>296</v>
      </c>
    </row>
    <row r="4" ht="34" spans="1:6">
      <c r="A4" s="2" t="s">
        <v>8</v>
      </c>
      <c r="B4" s="2" t="s">
        <v>284</v>
      </c>
      <c r="C4" s="2" t="s">
        <v>766</v>
      </c>
      <c r="D4" s="2" t="s">
        <v>767</v>
      </c>
      <c r="E4" s="2" t="s">
        <v>768</v>
      </c>
      <c r="F4" s="2" t="s">
        <v>769</v>
      </c>
    </row>
    <row r="5" ht="34" spans="1:6">
      <c r="A5" s="2" t="s">
        <v>8</v>
      </c>
      <c r="B5" s="2" t="s">
        <v>293</v>
      </c>
      <c r="C5" s="2" t="s">
        <v>714</v>
      </c>
      <c r="D5" s="2" t="s">
        <v>770</v>
      </c>
      <c r="E5" s="2" t="s">
        <v>764</v>
      </c>
      <c r="F5" s="2" t="s">
        <v>716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A1" sqref="A1"/>
    </sheetView>
  </sheetViews>
  <sheetFormatPr defaultColWidth="9" defaultRowHeight="16.8" outlineLevelCol="6"/>
  <cols>
    <col min="1" max="1" width="12" customWidth="1"/>
    <col min="2" max="2" width="8" customWidth="1"/>
    <col min="3" max="3" width="30" customWidth="1"/>
    <col min="4" max="4" width="14" customWidth="1"/>
    <col min="5" max="5" width="52" customWidth="1"/>
    <col min="6" max="6" width="46" customWidth="1"/>
    <col min="7" max="7" width="44" customWidth="1"/>
  </cols>
  <sheetData>
    <row r="1" ht="17" spans="1:7">
      <c r="A1" s="1" t="s">
        <v>55</v>
      </c>
      <c r="B1" s="1" t="s">
        <v>771</v>
      </c>
      <c r="C1" s="1" t="s">
        <v>772</v>
      </c>
      <c r="D1" s="1" t="s">
        <v>773</v>
      </c>
      <c r="E1" s="1" t="s">
        <v>774</v>
      </c>
      <c r="F1" s="1" t="s">
        <v>775</v>
      </c>
      <c r="G1" s="1" t="s">
        <v>776</v>
      </c>
    </row>
    <row r="2" ht="34" spans="1:7">
      <c r="A2" s="2" t="s">
        <v>7</v>
      </c>
      <c r="B2" s="2">
        <v>31</v>
      </c>
      <c r="C2" s="2" t="s">
        <v>289</v>
      </c>
      <c r="D2" s="2" t="s">
        <v>346</v>
      </c>
      <c r="E2" s="2" t="s">
        <v>777</v>
      </c>
      <c r="F2" s="2" t="s">
        <v>778</v>
      </c>
      <c r="G2" s="2" t="s">
        <v>779</v>
      </c>
    </row>
    <row r="3" ht="34" spans="1:7">
      <c r="A3" s="2" t="s">
        <v>7</v>
      </c>
      <c r="B3" s="2">
        <v>32</v>
      </c>
      <c r="C3" s="2" t="s">
        <v>780</v>
      </c>
      <c r="D3" s="2" t="s">
        <v>346</v>
      </c>
      <c r="E3" s="2" t="s">
        <v>781</v>
      </c>
      <c r="F3" s="2" t="s">
        <v>782</v>
      </c>
      <c r="G3" s="2" t="s">
        <v>296</v>
      </c>
    </row>
    <row r="4" ht="34" spans="1:7">
      <c r="A4" s="2" t="s">
        <v>7</v>
      </c>
      <c r="B4" s="2">
        <v>33</v>
      </c>
      <c r="C4" s="2" t="s">
        <v>298</v>
      </c>
      <c r="D4" s="2" t="s">
        <v>346</v>
      </c>
      <c r="E4" s="2" t="s">
        <v>783</v>
      </c>
      <c r="F4" s="2" t="s">
        <v>784</v>
      </c>
      <c r="G4" s="2" t="s">
        <v>785</v>
      </c>
    </row>
    <row r="5" ht="34" spans="1:7">
      <c r="A5" s="2" t="s">
        <v>7</v>
      </c>
      <c r="B5" s="2">
        <v>46</v>
      </c>
      <c r="C5" s="2" t="s">
        <v>344</v>
      </c>
      <c r="D5" s="2" t="s">
        <v>346</v>
      </c>
      <c r="E5" s="2" t="s">
        <v>786</v>
      </c>
      <c r="F5" s="2" t="s">
        <v>787</v>
      </c>
      <c r="G5" s="2" t="s">
        <v>788</v>
      </c>
    </row>
    <row r="6" ht="34" spans="1:7">
      <c r="A6" s="2" t="s">
        <v>7</v>
      </c>
      <c r="B6" s="2">
        <v>50</v>
      </c>
      <c r="C6" s="2" t="s">
        <v>358</v>
      </c>
      <c r="D6" s="2" t="s">
        <v>346</v>
      </c>
      <c r="E6" s="2" t="s">
        <v>789</v>
      </c>
      <c r="F6" s="2" t="s">
        <v>790</v>
      </c>
      <c r="G6" s="2" t="s">
        <v>791</v>
      </c>
    </row>
    <row r="7" ht="34" spans="1:7">
      <c r="A7" s="2" t="s">
        <v>8</v>
      </c>
      <c r="B7" s="2">
        <v>30</v>
      </c>
      <c r="C7" s="2" t="s">
        <v>361</v>
      </c>
      <c r="D7" s="2" t="s">
        <v>346</v>
      </c>
      <c r="E7" s="2" t="s">
        <v>792</v>
      </c>
      <c r="F7" s="2" t="s">
        <v>793</v>
      </c>
      <c r="G7" s="2" t="s">
        <v>794</v>
      </c>
    </row>
    <row r="8" ht="34" spans="1:7">
      <c r="A8" s="2" t="s">
        <v>8</v>
      </c>
      <c r="B8" s="2">
        <v>39</v>
      </c>
      <c r="C8" s="2" t="s">
        <v>289</v>
      </c>
      <c r="D8" s="2" t="s">
        <v>346</v>
      </c>
      <c r="E8" s="2" t="s">
        <v>795</v>
      </c>
      <c r="F8" s="2" t="s">
        <v>796</v>
      </c>
      <c r="G8" s="2" t="s">
        <v>797</v>
      </c>
    </row>
    <row r="9" ht="51" spans="1:7">
      <c r="A9" s="2" t="s">
        <v>8</v>
      </c>
      <c r="B9" s="2">
        <v>42</v>
      </c>
      <c r="C9" s="2" t="s">
        <v>780</v>
      </c>
      <c r="D9" s="2" t="s">
        <v>346</v>
      </c>
      <c r="E9" s="2" t="s">
        <v>798</v>
      </c>
      <c r="F9" s="2" t="s">
        <v>799</v>
      </c>
      <c r="G9" s="2" t="s">
        <v>716</v>
      </c>
    </row>
    <row r="10" ht="34" spans="1:7">
      <c r="A10" s="2" t="s">
        <v>8</v>
      </c>
      <c r="B10" s="2">
        <v>49</v>
      </c>
      <c r="C10" s="2" t="s">
        <v>339</v>
      </c>
      <c r="D10" s="2" t="s">
        <v>346</v>
      </c>
      <c r="E10" s="2" t="s">
        <v>800</v>
      </c>
      <c r="F10" s="2" t="s">
        <v>801</v>
      </c>
      <c r="G10" s="2" t="s">
        <v>802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summary</vt:lpstr>
      <vt:lpstr>config</vt:lpstr>
      <vt:lpstr>Asthma_top50</vt:lpstr>
      <vt:lpstr>Asthma_all</vt:lpstr>
      <vt:lpstr>IBD_top50</vt:lpstr>
      <vt:lpstr>IBD_all</vt:lpstr>
      <vt:lpstr>Literature_summary</vt:lpstr>
      <vt:lpstr>Citation_Audit</vt:lpstr>
      <vt:lpstr>Remaining_Pending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海口柠檬甜</cp:lastModifiedBy>
  <dcterms:created xsi:type="dcterms:W3CDTF">2026-08-15T22:51:23Z</dcterms:created>
  <dcterms:modified xsi:type="dcterms:W3CDTF">2026-08-15T22:51:55Z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2694C9CFAECA2FE30B7D806AFB63E260_42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